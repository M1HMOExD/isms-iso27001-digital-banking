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pivotTables/pivotTable4.xml" ContentType="application/vnd.openxmlformats-officedocument.spreadsheetml.pivotTab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ACER\Downloads\"/>
    </mc:Choice>
  </mc:AlternateContent>
  <xr:revisionPtr revIDLastSave="0" documentId="8_{E66975FB-25B5-BF42-86B3-A3DCE20930A8}" xr6:coauthVersionLast="47" xr6:coauthVersionMax="47" xr10:uidLastSave="{00000000-0000-0000-0000-000000000000}"/>
  <bookViews>
    <workbookView xWindow="-108" yWindow="-108" windowWidth="23256" windowHeight="12456" tabRatio="845" activeTab="1" xr2:uid="{00000000-000D-0000-FFFF-FFFF00000000}"/>
  </bookViews>
  <sheets>
    <sheet name="Assessment Details" sheetId="1" r:id="rId1"/>
    <sheet name="Risk Assessment" sheetId="2" r:id="rId2"/>
    <sheet name="Dashboard" sheetId="3" r:id="rId3"/>
    <sheet name="Pre-treatment risks" sheetId="4" state="hidden" r:id="rId4"/>
    <sheet name="Pre-treat risk levels by owner" sheetId="5" state="hidden" r:id="rId5"/>
    <sheet name="Post-treatment risks" sheetId="6" state="hidden" r:id="rId6"/>
    <sheet name="Risks by risk level pre &amp; post" sheetId="7" state="hidden" r:id="rId7"/>
    <sheet name="Treatment option chosen" sheetId="8" state="hidden" r:id="rId8"/>
    <sheet name="Treatment cost " sheetId="9" state="hidden" r:id="rId9"/>
    <sheet name="Treatment action owner " sheetId="10" state="hidden" r:id="rId10"/>
    <sheet name="Reference Controls" sheetId="11" r:id="rId11"/>
    <sheet name="Example ATV Risks" sheetId="12" r:id="rId12"/>
    <sheet name="Example Assets" sheetId="13" r:id="rId13"/>
    <sheet name="Example Threats" sheetId="14" state="hidden" r:id="rId14"/>
    <sheet name="Likelihood" sheetId="15" r:id="rId15"/>
    <sheet name="Impact" sheetId="16" r:id="rId16"/>
    <sheet name="Selection Tables" sheetId="17" state="hidden" r:id="rId17"/>
    <sheet name="Pivot tables" sheetId="18" state="hidden" r:id="rId18"/>
  </sheets>
  <definedNames>
    <definedName name="NoRisksPre" localSheetId="2">#REF!</definedName>
    <definedName name="NoRisksPre">'Pivot tables'!$A$43</definedName>
    <definedName name="_xlnm.Print_Area" localSheetId="10">'Reference Controls'!$A$1:$D$114</definedName>
    <definedName name="_xlnm.Print_Area" localSheetId="1">'Risk Assessment'!$A$1:$AD$23</definedName>
    <definedName name="_xlnm.Print_Titles" localSheetId="12">'Example Assets'!$12:$12</definedName>
    <definedName name="_xlnm.Print_Titles" localSheetId="11">'Example ATV Risks'!$13:$13</definedName>
    <definedName name="_xlnm.Print_Titles" localSheetId="10">'Reference Controls'!$11:$11</definedName>
    <definedName name="_xlnm.Print_Titles" localSheetId="1">'Risk Assessment'!$12:$13,'Risk Assessment'!$B:$H</definedName>
    <definedName name="Slicer_Post_Treatment_Risk_Level">#N/A</definedName>
    <definedName name="Slicer_Risk_level">#N/A</definedName>
    <definedName name="Slicer_Risk_Owner">#N/A</definedName>
    <definedName name="Slicer_Treatment_Action_Owner">#N/A</definedName>
    <definedName name="Slicer_Treatment_Action_Status">#N/A</definedName>
    <definedName name="Slicer_Treatment_option_chosen">#N/A</definedName>
  </definedNames>
  <calcPr calcId="191028"/>
  <pivotCaches>
    <pivotCache cacheId="0" r:id="rId19"/>
    <pivotCache cacheId="1" r:id="rId20"/>
    <pivotCache cacheId="2" r:id="rId21"/>
    <pivotCache cacheId="3"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4" i="2" l="1"/>
  <c r="AC14" i="2"/>
  <c r="Z66" i="3" a="1"/>
  <c r="Z66" i="3"/>
  <c r="Y66" i="3" a="1"/>
  <c r="Y66" i="3"/>
  <c r="X66" i="3" a="1"/>
  <c r="X66" i="3"/>
  <c r="W66" i="3" a="1"/>
  <c r="W66" i="3"/>
  <c r="V66" i="3" a="1"/>
  <c r="V66" i="3"/>
  <c r="R66" i="3" a="1"/>
  <c r="R66" i="3"/>
  <c r="Q66" i="3" a="1"/>
  <c r="Q66" i="3"/>
  <c r="P66" i="3" a="1"/>
  <c r="P66" i="3"/>
  <c r="O66" i="3" a="1"/>
  <c r="O66" i="3"/>
  <c r="N66" i="3" a="1"/>
  <c r="N66" i="3"/>
  <c r="Z65" i="3" a="1"/>
  <c r="Z65" i="3"/>
  <c r="Y65" i="3" a="1"/>
  <c r="Y65" i="3"/>
  <c r="X65" i="3" a="1"/>
  <c r="X65" i="3"/>
  <c r="W65" i="3" a="1"/>
  <c r="W65" i="3"/>
  <c r="V65" i="3" a="1"/>
  <c r="V65" i="3"/>
  <c r="R65" i="3" a="1"/>
  <c r="R65" i="3"/>
  <c r="Q65" i="3" a="1"/>
  <c r="Q65" i="3"/>
  <c r="P65" i="3" a="1"/>
  <c r="P65" i="3"/>
  <c r="O65" i="3" a="1"/>
  <c r="O65" i="3"/>
  <c r="N65" i="3" a="1"/>
  <c r="N65" i="3"/>
  <c r="Z64" i="3" a="1"/>
  <c r="Z64" i="3"/>
  <c r="Y64" i="3" a="1"/>
  <c r="Y64" i="3"/>
  <c r="X64" i="3" a="1"/>
  <c r="X64" i="3"/>
  <c r="W64" i="3" a="1"/>
  <c r="W64" i="3"/>
  <c r="V64" i="3" a="1"/>
  <c r="V64" i="3"/>
  <c r="R64" i="3" a="1"/>
  <c r="R64" i="3"/>
  <c r="Q64" i="3" a="1"/>
  <c r="Q64" i="3"/>
  <c r="P64" i="3" a="1"/>
  <c r="P64" i="3"/>
  <c r="O64" i="3" a="1"/>
  <c r="O64" i="3"/>
  <c r="N64" i="3" a="1"/>
  <c r="N64" i="3"/>
  <c r="Z63" i="3" a="1"/>
  <c r="Z63" i="3"/>
  <c r="Y63" i="3" a="1"/>
  <c r="Y63" i="3"/>
  <c r="X63" i="3" a="1"/>
  <c r="X63" i="3"/>
  <c r="W63" i="3" a="1"/>
  <c r="W63" i="3"/>
  <c r="V63" i="3" a="1"/>
  <c r="V63" i="3"/>
  <c r="R63" i="3" a="1"/>
  <c r="R63" i="3"/>
  <c r="Q63" i="3" a="1"/>
  <c r="Q63" i="3"/>
  <c r="P63" i="3" a="1"/>
  <c r="P63" i="3"/>
  <c r="O63" i="3" a="1"/>
  <c r="O63" i="3"/>
  <c r="N63" i="3" a="1"/>
  <c r="N63" i="3"/>
  <c r="Z62" i="3" a="1"/>
  <c r="Z62" i="3"/>
  <c r="Y62" i="3" a="1"/>
  <c r="Y62" i="3"/>
  <c r="X62" i="3" a="1"/>
  <c r="X62" i="3"/>
  <c r="W62" i="3" a="1"/>
  <c r="W62" i="3"/>
  <c r="V62" i="3" a="1"/>
  <c r="V62" i="3"/>
  <c r="R62" i="3" a="1"/>
  <c r="R62" i="3"/>
  <c r="Q62" i="3" a="1"/>
  <c r="Q62" i="3"/>
  <c r="P62" i="3" a="1"/>
  <c r="P62" i="3"/>
  <c r="O62" i="3" a="1"/>
  <c r="O62" i="3"/>
  <c r="N62" i="3" a="1"/>
  <c r="N62" i="3"/>
  <c r="AB23" i="2"/>
  <c r="AC23" i="2"/>
  <c r="N23" i="2"/>
  <c r="O23" i="2"/>
  <c r="AB22" i="2"/>
  <c r="AC22" i="2"/>
  <c r="N22" i="2"/>
  <c r="O22" i="2"/>
  <c r="AB21" i="2"/>
  <c r="AC21" i="2"/>
  <c r="N21" i="2"/>
  <c r="O21" i="2"/>
  <c r="AB20" i="2"/>
  <c r="AC20" i="2"/>
  <c r="O20" i="2"/>
  <c r="N20" i="2"/>
  <c r="AB19" i="2"/>
  <c r="AC19" i="2"/>
  <c r="O19" i="2"/>
  <c r="N19" i="2"/>
  <c r="AB18" i="2"/>
  <c r="AC18" i="2"/>
  <c r="N18" i="2"/>
  <c r="O18" i="2"/>
  <c r="AB17" i="2"/>
  <c r="AC17" i="2"/>
  <c r="N17" i="2"/>
  <c r="O17" i="2"/>
  <c r="AB16" i="2"/>
  <c r="AC16" i="2"/>
  <c r="N16" i="2"/>
  <c r="O16" i="2"/>
  <c r="AB15" i="2"/>
  <c r="AC15" i="2"/>
  <c r="O15" i="2"/>
  <c r="N15" i="2"/>
  <c r="N14" i="2"/>
  <c r="O14" i="2"/>
  <c r="C44" i="18"/>
  <c r="B44" i="18"/>
  <c r="C7" i="4"/>
  <c r="C8" i="4"/>
  <c r="C9" i="4"/>
  <c r="C7" i="6"/>
  <c r="C8" i="6"/>
  <c r="C9" i="6"/>
  <c r="C7" i="7"/>
  <c r="D7" i="7"/>
  <c r="C8" i="7"/>
  <c r="D8" i="7"/>
  <c r="C9" i="7"/>
  <c r="D9" i="7"/>
  <c r="B42" i="18"/>
  <c r="C42" i="18"/>
  <c r="B43" i="18"/>
  <c r="C43"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 Holmes</author>
    <author>Mark Clifton</author>
  </authors>
  <commentList>
    <comment ref="B12" authorId="0" shapeId="0" xr:uid="{00000000-0006-0000-0100-000001000000}">
      <text>
        <r>
          <rPr>
            <sz val="11"/>
            <color theme="1"/>
            <rFont val="Calibri"/>
            <family val="2"/>
            <scheme val="minor"/>
          </rPr>
          <t>This section describes the nature of the risk and, as required by the ISO27001 standard, the risk owner.</t>
        </r>
      </text>
    </comment>
    <comment ref="I12" authorId="0" shapeId="0" xr:uid="{00000000-0006-0000-0100-000002000000}">
      <text>
        <r>
          <rPr>
            <sz val="11"/>
            <color theme="1"/>
            <rFont val="Calibri"/>
            <family val="2"/>
            <scheme val="minor"/>
          </rPr>
          <t>This is an assessment of the level of current risk, taking into account any controls already in place to address it.</t>
        </r>
      </text>
    </comment>
    <comment ref="P12" authorId="0" shapeId="0" xr:uid="{00000000-0006-0000-0100-000003000000}">
      <text>
        <r>
          <rPr>
            <sz val="11"/>
            <color theme="1"/>
            <rFont val="Calibri"/>
            <family val="2"/>
            <scheme val="minor"/>
          </rPr>
          <t>For those risks that are not accepted, a plan must be in place to take action to address the risk.</t>
        </r>
      </text>
    </comment>
    <comment ref="X12" authorId="0" shapeId="0" xr:uid="{00000000-0006-0000-0100-000004000000}">
      <text>
        <r>
          <rPr>
            <sz val="11"/>
            <color theme="1"/>
            <rFont val="Calibri"/>
            <family val="2"/>
            <scheme val="minor"/>
          </rPr>
          <t>This section is used to assess what the level of risk will be, once the treatment actions have been carried out.</t>
        </r>
      </text>
    </comment>
    <comment ref="B13" authorId="0" shapeId="0" xr:uid="{00000000-0006-0000-0100-000005000000}">
      <text>
        <r>
          <rPr>
            <sz val="11"/>
            <color theme="1"/>
            <rFont val="Calibri"/>
            <family val="2"/>
            <scheme val="minor"/>
          </rPr>
          <t>Enter a reference number here.</t>
        </r>
      </text>
    </comment>
    <comment ref="C13" authorId="0" shapeId="0" xr:uid="{00000000-0006-0000-0100-000006000000}">
      <text>
        <r>
          <rPr>
            <sz val="11"/>
            <color theme="1"/>
            <rFont val="Calibri"/>
            <family val="2"/>
            <scheme val="minor"/>
          </rPr>
          <t>The logical collection of assets that is under consideration.</t>
        </r>
      </text>
    </comment>
    <comment ref="D13" authorId="0" shapeId="0" xr:uid="{00000000-0006-0000-0100-000007000000}">
      <text>
        <r>
          <rPr>
            <sz val="11"/>
            <color theme="1"/>
            <rFont val="Calibri"/>
            <family val="2"/>
            <scheme val="minor"/>
          </rPr>
          <t>The individual asset (or sub-group) that is being assessed.</t>
        </r>
      </text>
    </comment>
    <comment ref="E13" authorId="1" shapeId="0" xr:uid="{00000000-0006-0000-0100-000008000000}">
      <text>
        <r>
          <rPr>
            <sz val="11"/>
            <color theme="1"/>
            <rFont val="Calibri"/>
            <family val="2"/>
            <scheme val="minor"/>
          </rPr>
          <t xml:space="preserve">What may happen if the asset's vulnerabilities are exploited by a specific entity.
</t>
        </r>
      </text>
    </comment>
    <comment ref="F13" authorId="1" shapeId="0" xr:uid="{00000000-0006-0000-0100-000009000000}">
      <text>
        <r>
          <rPr>
            <sz val="11"/>
            <color theme="1"/>
            <rFont val="Calibri"/>
            <family val="2"/>
            <scheme val="minor"/>
          </rPr>
          <t>A weakness that could be exploited by a threat to expose the asset to compromise.</t>
        </r>
      </text>
    </comment>
    <comment ref="G13" authorId="0" shapeId="0" xr:uid="{00000000-0006-0000-0100-00000A000000}">
      <text>
        <r>
          <rPr>
            <sz val="11"/>
            <color theme="1"/>
            <rFont val="Calibri"/>
            <family val="2"/>
            <scheme val="minor"/>
          </rPr>
          <t>Is this a risk to:
C = Confidentiality
I = Integrity
A = Availability
or a combination of these?</t>
        </r>
      </text>
    </comment>
    <comment ref="H13" authorId="0" shapeId="0" xr:uid="{00000000-0006-0000-0100-00000B000000}">
      <text>
        <r>
          <rPr>
            <sz val="11"/>
            <color theme="1"/>
            <rFont val="Calibri"/>
            <family val="2"/>
            <scheme val="minor"/>
          </rPr>
          <t>Name of the person responsible for the risk.</t>
        </r>
      </text>
    </comment>
    <comment ref="I13" authorId="0" shapeId="0" xr:uid="{00000000-0006-0000-0100-00000C000000}">
      <text>
        <r>
          <rPr>
            <sz val="11"/>
            <color theme="1"/>
            <rFont val="Calibri"/>
            <family val="2"/>
            <scheme val="minor"/>
          </rPr>
          <t>Existing controls which could lessen the risk likelihood and/or impact.</t>
        </r>
      </text>
    </comment>
    <comment ref="J13" authorId="0" shapeId="0" xr:uid="{00000000-0006-0000-0100-00000D000000}">
      <text>
        <r>
          <rPr>
            <sz val="11"/>
            <color theme="1"/>
            <rFont val="Calibri"/>
            <family val="2"/>
            <scheme val="minor"/>
          </rPr>
          <t>Select a score from 1 to 5, where 1 is a low likelihood and 5 is high.</t>
        </r>
      </text>
    </comment>
    <comment ref="K13" authorId="0" shapeId="0" xr:uid="{00000000-0006-0000-0100-00000E000000}">
      <text>
        <r>
          <rPr>
            <sz val="11"/>
            <color theme="1"/>
            <rFont val="Calibri"/>
            <family val="2"/>
            <scheme val="minor"/>
          </rPr>
          <t>Reasoning for giving that likelihood score.</t>
        </r>
      </text>
    </comment>
    <comment ref="L13" authorId="0" shapeId="0" xr:uid="{00000000-0006-0000-0100-00000F000000}">
      <text>
        <r>
          <rPr>
            <sz val="11"/>
            <color theme="1"/>
            <rFont val="Calibri"/>
            <family val="2"/>
            <scheme val="minor"/>
          </rPr>
          <t>Select a score from 1 to 5, where 1 is low impact and 5 is high.</t>
        </r>
      </text>
    </comment>
    <comment ref="M13" authorId="0" shapeId="0" xr:uid="{00000000-0006-0000-0100-000010000000}">
      <text>
        <r>
          <rPr>
            <sz val="11"/>
            <color theme="1"/>
            <rFont val="Calibri"/>
            <family val="2"/>
            <scheme val="minor"/>
          </rPr>
          <t>Brief explanation of why the impact score was assigned.</t>
        </r>
      </text>
    </comment>
    <comment ref="N13" authorId="0" shapeId="0" xr:uid="{00000000-0006-0000-0100-000011000000}">
      <text>
        <r>
          <rPr>
            <sz val="11"/>
            <color theme="1"/>
            <rFont val="Calibri"/>
            <family val="2"/>
            <scheme val="minor"/>
          </rPr>
          <t>Risk score of between 1 and 25. This field will be automatically generated.</t>
        </r>
      </text>
    </comment>
    <comment ref="O13" authorId="0" shapeId="0" xr:uid="{00000000-0006-0000-0100-000012000000}">
      <text>
        <r>
          <rPr>
            <sz val="11"/>
            <color theme="1"/>
            <rFont val="Calibri"/>
            <family val="2"/>
            <scheme val="minor"/>
          </rPr>
          <t>Risk level of low, medium or high, depending on the risk score. This field will be automatically generated.</t>
        </r>
      </text>
    </comment>
    <comment ref="P13" authorId="0" shapeId="0" xr:uid="{00000000-0006-0000-0100-000013000000}">
      <text>
        <r>
          <rPr>
            <sz val="11"/>
            <color theme="1"/>
            <rFont val="Calibri"/>
            <family val="2"/>
            <scheme val="minor"/>
          </rPr>
          <t>Select a risk treatment option from the drop-down menu.</t>
        </r>
      </text>
    </comment>
    <comment ref="Q13" authorId="0" shapeId="0" xr:uid="{00000000-0006-0000-0100-000014000000}">
      <text>
        <r>
          <rPr>
            <sz val="11"/>
            <color theme="1"/>
            <rFont val="Calibri"/>
            <family val="2"/>
            <scheme val="minor"/>
          </rPr>
          <t>If appropriate, record the proposed controls intended to address the risk. These may be guided by ISO27001 Annex A reference controls, or taken from another source.</t>
        </r>
      </text>
    </comment>
    <comment ref="R13" authorId="0" shapeId="0" xr:uid="{00000000-0006-0000-0100-000015000000}">
      <text>
        <r>
          <rPr>
            <sz val="11"/>
            <color theme="1"/>
            <rFont val="Calibri"/>
            <family val="2"/>
            <scheme val="minor"/>
          </rPr>
          <t>If appropriate, give the specific reference information of the control(s) used to address the risk.</t>
        </r>
      </text>
    </comment>
    <comment ref="S13" authorId="0" shapeId="0" xr:uid="{00000000-0006-0000-0100-000016000000}">
      <text>
        <r>
          <rPr>
            <sz val="11"/>
            <color theme="1"/>
            <rFont val="Calibri"/>
            <family val="2"/>
            <scheme val="minor"/>
          </rPr>
          <t>How much money will the proposed control cost?</t>
        </r>
      </text>
    </comment>
    <comment ref="T13" authorId="0" shapeId="0" xr:uid="{00000000-0006-0000-0100-000017000000}">
      <text>
        <r>
          <rPr>
            <sz val="11"/>
            <color theme="1"/>
            <rFont val="Calibri"/>
            <family val="2"/>
            <scheme val="minor"/>
          </rPr>
          <t>The person or role tasked with completing the treatment action.</t>
        </r>
      </text>
    </comment>
    <comment ref="U13" authorId="0" shapeId="0" xr:uid="{00000000-0006-0000-0100-000018000000}">
      <text>
        <r>
          <rPr>
            <sz val="11"/>
            <color theme="1"/>
            <rFont val="Calibri"/>
            <family val="2"/>
            <scheme val="minor"/>
          </rPr>
          <t>The date or timeframe by which the treatment action must be completed.</t>
        </r>
      </text>
    </comment>
    <comment ref="V13" authorId="0" shapeId="0" xr:uid="{00000000-0006-0000-0100-000019000000}">
      <text>
        <r>
          <rPr>
            <sz val="11"/>
            <color theme="1"/>
            <rFont val="Calibri"/>
            <family val="2"/>
            <scheme val="minor"/>
          </rPr>
          <t>A dated narrative of progress towards the completion of the treatment action.</t>
        </r>
      </text>
    </comment>
    <comment ref="W13" authorId="0" shapeId="0" xr:uid="{00000000-0006-0000-0100-00001A000000}">
      <text>
        <r>
          <rPr>
            <sz val="11"/>
            <color theme="1"/>
            <rFont val="Calibri"/>
            <family val="2"/>
            <scheme val="minor"/>
          </rPr>
          <t>Whether the treatment action has been completed.</t>
        </r>
      </text>
    </comment>
    <comment ref="X13" authorId="0" shapeId="0" xr:uid="{00000000-0006-0000-0100-00001B000000}">
      <text>
        <r>
          <rPr>
            <sz val="11"/>
            <color theme="1"/>
            <rFont val="Calibri"/>
            <family val="2"/>
            <scheme val="minor"/>
          </rPr>
          <t>Select a score from 1 to 5, where 1 is a low likelihood and 5 is high.</t>
        </r>
      </text>
    </comment>
    <comment ref="Y13" authorId="0" shapeId="0" xr:uid="{00000000-0006-0000-0100-00001C000000}">
      <text>
        <r>
          <rPr>
            <sz val="11"/>
            <color theme="1"/>
            <rFont val="Calibri"/>
            <family val="2"/>
            <scheme val="minor"/>
          </rPr>
          <t>Reasoning for giving that likelihood score.</t>
        </r>
      </text>
    </comment>
    <comment ref="Z13" authorId="0" shapeId="0" xr:uid="{00000000-0006-0000-0100-00001D000000}">
      <text>
        <r>
          <rPr>
            <sz val="11"/>
            <color theme="1"/>
            <rFont val="Calibri"/>
            <family val="2"/>
            <scheme val="minor"/>
          </rPr>
          <t>Select a score from 1 to 5, where 1 is low impact and 5 is high.</t>
        </r>
      </text>
    </comment>
    <comment ref="AA13" authorId="0" shapeId="0" xr:uid="{00000000-0006-0000-0100-00001E000000}">
      <text>
        <r>
          <rPr>
            <sz val="11"/>
            <color theme="1"/>
            <rFont val="Calibri"/>
            <family val="2"/>
            <scheme val="minor"/>
          </rPr>
          <t>Reasoning for giving that impact score.</t>
        </r>
      </text>
    </comment>
    <comment ref="AB13" authorId="0" shapeId="0" xr:uid="{00000000-0006-0000-0100-00001F000000}">
      <text>
        <r>
          <rPr>
            <sz val="11"/>
            <color theme="1"/>
            <rFont val="Calibri"/>
            <family val="2"/>
            <scheme val="minor"/>
          </rPr>
          <t>Risk score of between 1 and 25. This field will be automatically generated.</t>
        </r>
      </text>
    </comment>
    <comment ref="AC13" authorId="0" shapeId="0" xr:uid="{00000000-0006-0000-0100-000020000000}">
      <text>
        <r>
          <rPr>
            <sz val="11"/>
            <color theme="1"/>
            <rFont val="Calibri"/>
            <family val="2"/>
            <scheme val="minor"/>
          </rPr>
          <t>Risk level of low, medium or high, depending on the risk score. This field will be automatically generated.</t>
        </r>
      </text>
    </comment>
    <comment ref="AD13" authorId="0" shapeId="0" xr:uid="{00000000-0006-0000-0100-000021000000}">
      <text>
        <r>
          <rPr>
            <sz val="11"/>
            <color theme="1"/>
            <rFont val="Calibri"/>
            <family val="2"/>
            <scheme val="minor"/>
          </rPr>
          <t>Enter any other comments here.</t>
        </r>
      </text>
    </comment>
  </commentList>
</comments>
</file>

<file path=xl/sharedStrings.xml><?xml version="1.0" encoding="utf-8"?>
<sst xmlns="http://schemas.openxmlformats.org/spreadsheetml/2006/main" count="1370" uniqueCount="778">
  <si>
    <t>Assessment Details</t>
  </si>
  <si>
    <t xml:space="preserve">Security Classification
</t>
  </si>
  <si>
    <t>Internal</t>
  </si>
  <si>
    <t xml:space="preserve">Risk Assessment Title
</t>
  </si>
  <si>
    <t xml:space="preserve">Risk Assessment Scope
</t>
  </si>
  <si>
    <t>Context of Risk Assessment</t>
  </si>
  <si>
    <t>Risk Acceptance Criteria</t>
  </si>
  <si>
    <t xml:space="preserve">Version
</t>
  </si>
  <si>
    <t>1.0</t>
  </si>
  <si>
    <t xml:space="preserve">Dated
</t>
  </si>
  <si>
    <t xml:space="preserve">Risk Assessors
</t>
  </si>
  <si>
    <t>Risk Assessment Participants</t>
  </si>
  <si>
    <t xml:space="preserve">Approval
</t>
  </si>
  <si>
    <t xml:space="preserve">Date Approved
</t>
  </si>
  <si>
    <t>Asset-Based Risk Assessment and Treatment Tool</t>
  </si>
  <si>
    <t xml:space="preserve"> RISK DESCRIPTION</t>
  </si>
  <si>
    <t xml:space="preserve"> PRE-TREATMENT ASSESSMENT</t>
  </si>
  <si>
    <t xml:space="preserve"> TREATMENT PLAN</t>
  </si>
  <si>
    <t xml:space="preserve"> POST-TREATMENT ASSESSMENT</t>
  </si>
  <si>
    <t>Ref</t>
  </si>
  <si>
    <t>Asset Group</t>
  </si>
  <si>
    <t>Asset</t>
  </si>
  <si>
    <t>Threat</t>
  </si>
  <si>
    <t>Vulnerability</t>
  </si>
  <si>
    <t>Risk Type</t>
  </si>
  <si>
    <t>Risk Owner</t>
  </si>
  <si>
    <t>Existing Controls</t>
  </si>
  <si>
    <t>Likelihood</t>
  </si>
  <si>
    <t>Likelihood Rationale</t>
  </si>
  <si>
    <t>Impact</t>
  </si>
  <si>
    <t>Impact Rationale</t>
  </si>
  <si>
    <t>Risk Score</t>
  </si>
  <si>
    <t>Risk Level</t>
  </si>
  <si>
    <t>Treatment Option Chosen</t>
  </si>
  <si>
    <t>Proposed Treatment Action</t>
  </si>
  <si>
    <t>Annex A/Control Reference</t>
  </si>
  <si>
    <t>Treatment Cost</t>
  </si>
  <si>
    <t>Treatment Action Owner</t>
  </si>
  <si>
    <t>Treatment Action Timescale</t>
  </si>
  <si>
    <t>Treatment Action Progress</t>
  </si>
  <si>
    <t>Treatment Action Status</t>
  </si>
  <si>
    <t>Post-Treatment Likelihood</t>
  </si>
  <si>
    <t>Post-Treatment Likelihood Rationale</t>
  </si>
  <si>
    <t>Post- Treatment Impact</t>
  </si>
  <si>
    <t>Post-Treatment Impact Rationale</t>
  </si>
  <si>
    <t>Post-Treatment Risk Score</t>
  </si>
  <si>
    <t>Post-Treatment Risk Level</t>
  </si>
  <si>
    <t>Comments</t>
  </si>
  <si>
    <t>Information</t>
  </si>
  <si>
    <t>Customer Master &amp; Account Data (IA-001 / IA-002)</t>
  </si>
  <si>
    <t>Unauthorized disclosure or data exposure</t>
  </si>
  <si>
    <t>Not specified in Risk-Assessment-Report.md beyond the general threat description.</t>
  </si>
  <si>
    <t>C</t>
  </si>
  <si>
    <t>Digital Banking Owner</t>
  </si>
  <si>
    <t>Active Directory access control; encryption coverage not confirmed as comprehensive (Case Study §3.2).</t>
  </si>
  <si>
    <t>Not independently specified in Risk-Assessment-Report.md; derived as a factor of the documented total Risk Score (RT1 1-5 scale).</t>
  </si>
  <si>
    <t>Modify</t>
  </si>
  <si>
    <t>Mandatory Full-Disk Encryption &amp; Access Control (per Risk-Assessment-Report.md, Table 3 REF 1).</t>
  </si>
  <si>
    <t>A.8.24 Use of cryptography</t>
  </si>
  <si>
    <t>Not specified in case study</t>
  </si>
  <si>
    <t>Not Started</t>
  </si>
  <si>
    <t>Not assessed — pending completion of treatment actions (Risk-Assessment-Report.md states the treatment plan is a future step).</t>
  </si>
  <si>
    <t>Asset matched to IA-001 and IA-002 in the Information Asset Inventory.</t>
  </si>
  <si>
    <t>Afaq Plus &amp; Afaq Net Source Code (IA-009 / IA-010)</t>
  </si>
  <si>
    <t>Malicious code injection or exploitation</t>
  </si>
  <si>
    <t>Insufficient input validation enabling SQL injection (Case Study §4.6; 3 high-risk findings, 2 of 3 remediated to date).</t>
  </si>
  <si>
    <t>I</t>
  </si>
  <si>
    <t>Head of Software Dev</t>
  </si>
  <si>
    <t>Qualys quarterly vulnerability scanning; GitLab Enterprise source-code management (Case Study §3.2, §4.6).</t>
  </si>
  <si>
    <t>SQL injection remediation &amp; secure code review (per Risk-Assessment-Report.md, Table 3 REF 2).</t>
  </si>
  <si>
    <t>A.8.28 Secure coding</t>
  </si>
  <si>
    <t>BANK RISK APPETITE CATEGORY: CRITICAL per RT1 Methodology/Risk Appetite Statement (this tool's native Risk Level formula only shows LOW/MEDIUM/HIGH, no Critical tier). Asset matched to IA-009 and IA-010.</t>
  </si>
  <si>
    <t>Customer Authentication Data (IA-005)</t>
  </si>
  <si>
    <t>Credential theft via advanced phishing</t>
  </si>
  <si>
    <t>Limited security-awareness effectiveness — 25% phishing click-through, 8% reporting (Case Study §4.7).</t>
  </si>
  <si>
    <t>CISO</t>
  </si>
  <si>
    <t>RSA SecurID MFA (partial coverage); Cisco Email Security gateway (Case Study §3.2).</t>
  </si>
  <si>
    <t>Advanced email filtering &amp; MFA enforcement (per Risk-Assessment-Report.md, Table 3 REF 3).</t>
  </si>
  <si>
    <t>A.9.4 [INVALID — does not exist in ISO/IEC 27001:2022; source error, not corrected here]</t>
  </si>
  <si>
    <t>BANK RISK APPETITE CATEGORY: CRITICAL per RT1 Methodology/Risk Appetite Statement (this tool's native Risk Level formula only shows LOW/MEDIUM/HIGH, no Critical tier). Asset matched to IA-005. NOTE: RA's cited code (A.9.4) does not exist in the 2022 standard — flagged as written, not silently corrected.</t>
  </si>
  <si>
    <t>Digital Transaction Records (IA-003)</t>
  </si>
  <si>
    <t>Unauthorized fund transfer / digital fraud</t>
  </si>
  <si>
    <t>Fraud Manager</t>
  </si>
  <si>
    <t>Fraud Detection System with real-time monitoring, effective in a related incident (Case Study §3.2, §4.2).</t>
  </si>
  <si>
    <t>Real-time fraud detection &amp; monitoring (per Risk-Assessment-Report.md, Table 3 REF 4).</t>
  </si>
  <si>
    <t>A.8.15 Logging</t>
  </si>
  <si>
    <t>Asset matched to IA-003.</t>
  </si>
  <si>
    <t>Network</t>
  </si>
  <si>
    <t>Network &amp; Firewall Infrastructure (SW-008 / IA-012 / IA-013)</t>
  </si>
  <si>
    <t>Misconfiguration causing service outage</t>
  </si>
  <si>
    <t>No dual-review process for critical firewall changes; no rollback procedure (Case Study §4.1).</t>
  </si>
  <si>
    <t>A</t>
  </si>
  <si>
    <t>IT Operations Mgr</t>
  </si>
  <si>
    <t>Palo Alto Networks firewalls (HA pair); FortiWeb WAF (Case Study §3.2).</t>
  </si>
  <si>
    <t>Dual-authorization change control implemented (per Risk-Assessment-Report.md, Table 3 REF 5).</t>
  </si>
  <si>
    <t>A.8.32 Change management</t>
  </si>
  <si>
    <t>Asset matched to SW-008, IA-012, IA-013.</t>
  </si>
  <si>
    <t>Digital SSL/TLS Certificates (IA-020)</t>
  </si>
  <si>
    <t>Certificate expiration causing downtime</t>
  </si>
  <si>
    <t>No automated certificate expiry monitoring system (Case Study §4.4).</t>
  </si>
  <si>
    <t>IT Infra Lead</t>
  </si>
  <si>
    <t>None identified; no automated certificate lifecycle tool (Case Study §4.4).</t>
  </si>
  <si>
    <t>Automated certificate lifecycle management (per Risk-Assessment-Report.md, Table 3 REF 6).</t>
  </si>
  <si>
    <t>A.8.8 Management of technical vulnerabilities [weak fit per source document; not corrected here]</t>
  </si>
  <si>
    <t>Asset matched to IA-020.</t>
  </si>
  <si>
    <t>Software</t>
  </si>
  <si>
    <t>Active Directory &amp; Privileged Accounts (SW-012 / IA-014)</t>
  </si>
  <si>
    <t>Unauthorized access to sensitive folders</t>
  </si>
  <si>
    <t>Legacy access not revoked; no periodic review; no PAM, manual admin passwords (Case Study §4.5, §3.2).</t>
  </si>
  <si>
    <t>IT / HR Mgr</t>
  </si>
  <si>
    <t>Active Directory identity management; no PAM solution (Case Study §3.2).</t>
  </si>
  <si>
    <t>Periodic access reviews &amp; least privilege (per Risk-Assessment-Report.md, Table 3 REF 7).</t>
  </si>
  <si>
    <t>A.5.18 Access rights</t>
  </si>
  <si>
    <t>Asset matched to SW-012, IA-014. SCOPE CAVEAT: references 'HR folders' excluded from Phase 1 per ISMS-Scope.md — unresolved conflict flagged.</t>
  </si>
  <si>
    <t>AWS Cloud Integration Workloads (SW-024 / SV-002)</t>
  </si>
  <si>
    <t>Cloud misconfiguration and data leak</t>
  </si>
  <si>
    <t>Partner cloud/third-party developers not fully vetted or continuously monitored (RA §3 narrative).</t>
  </si>
  <si>
    <t>Vendor Lead</t>
  </si>
  <si>
    <t>None identified; supplier/cloud vetting process not confirmed.</t>
  </si>
  <si>
    <t>Cloud Security Posture Management (per Risk-Assessment-Report.md, Table 3 REF 8).</t>
  </si>
  <si>
    <t>A.5.19 Information security in supplier relationships</t>
  </si>
  <si>
    <t>Asset matched to SW-024, SV-002.</t>
  </si>
  <si>
    <t>Hardware</t>
  </si>
  <si>
    <t>Phase 1 Employee Laptops (HW-012)</t>
  </si>
  <si>
    <t>Loss of unencrypted mobile hardware</t>
  </si>
  <si>
    <t>Full-disk encryption not enabled on all devices at time of loss (Case Study §4.3).</t>
  </si>
  <si>
    <t>IT Support Lead</t>
  </si>
  <si>
    <t>Trend Micro endpoint protection; encryption not consistently enabled (Case Study §3.2, §4.3).</t>
  </si>
  <si>
    <t>Mandatory endpoint encryption &amp; device tracking (per Risk-Assessment-Report.md, Table 3 REF 9).</t>
  </si>
  <si>
    <t>A.8.1 User endpoint devices</t>
  </si>
  <si>
    <t>Asset matched exactly to HW-012.</t>
  </si>
  <si>
    <t>Security &amp; Event Logs — Syslog / SOC (IA-015 / SW-014)</t>
  </si>
  <si>
    <t>Failure to detect security anomalies</t>
  </si>
  <si>
    <t>No SIEM; logs analysed manually (Case Study §3.2; ISMS-Scope.md §3.1).</t>
  </si>
  <si>
    <t>SOC Manager</t>
  </si>
  <si>
    <t>Centralized Syslog collection; manual analysis only (Case Study §3.2).</t>
  </si>
  <si>
    <t>Centralized log monitoring and SIEM enhancement (per Risk-Assessment-Report.md, Table 3 REF 10).</t>
  </si>
  <si>
    <t>A.8.16 Monitoring activities</t>
  </si>
  <si>
    <t>Asset matched to IA-015, SW-014.</t>
  </si>
  <si>
    <t>ISO/IEC 27001 Asset-based risk assessment and treatment tool dashboard</t>
  </si>
  <si>
    <t>Pre-treatment assessment</t>
  </si>
  <si>
    <t>Post-treatment assessment</t>
  </si>
  <si>
    <t>Classification of risk level</t>
  </si>
  <si>
    <t>Risk profile diagram</t>
  </si>
  <si>
    <t>The chart below shows the rating scheme used to determine risk level based on a combination of likelihood and impact.</t>
  </si>
  <si>
    <t>The charts below show the spread of risk severities before and after risk treatment.</t>
  </si>
  <si>
    <t>LIKELIHOOD: What are the chances of the risk event happening?</t>
  </si>
  <si>
    <t>IMPACT: How major could the consequences be if the risk event happened?</t>
  </si>
  <si>
    <t>Pre-treatment</t>
  </si>
  <si>
    <t>Post-treatment</t>
  </si>
  <si>
    <t>INSIGNIFICANT
1</t>
  </si>
  <si>
    <t>MINOR
2</t>
  </si>
  <si>
    <t>SIGNIFICANT
3</t>
  </si>
  <si>
    <t>MAJOR
4</t>
  </si>
  <si>
    <t>SEVERE
5</t>
  </si>
  <si>
    <t>Risk Likelihood</t>
  </si>
  <si>
    <t>ALMOST
CERTAIN
5</t>
  </si>
  <si>
    <t>MEDIUM
5</t>
  </si>
  <si>
    <t>MEDIUM
10</t>
  </si>
  <si>
    <t>HIGH
15</t>
  </si>
  <si>
    <t>HIGH
20</t>
  </si>
  <si>
    <t>HIGH
25</t>
  </si>
  <si>
    <t>LIKELY
4</t>
  </si>
  <si>
    <t>LOW
4</t>
  </si>
  <si>
    <t>MEDIUM
8</t>
  </si>
  <si>
    <t>HIGH
12</t>
  </si>
  <si>
    <t>HIGH
16</t>
  </si>
  <si>
    <t>MODERATE
3</t>
  </si>
  <si>
    <t>LOW
3</t>
  </si>
  <si>
    <t>MEDIUM
6</t>
  </si>
  <si>
    <t>MEDIUM
9</t>
  </si>
  <si>
    <t>UNLIKELY
2</t>
  </si>
  <si>
    <t>LOW
2</t>
  </si>
  <si>
    <t>RARE
1</t>
  </si>
  <si>
    <t>LOW
1</t>
  </si>
  <si>
    <t>Risk impact</t>
  </si>
  <si>
    <t>Treatment plan</t>
  </si>
  <si>
    <t>Number of Pre-treatment risks by risk level</t>
  </si>
  <si>
    <t>Risk level</t>
  </si>
  <si>
    <t xml:space="preserve"> Low</t>
  </si>
  <si>
    <t xml:space="preserve"> Medium</t>
  </si>
  <si>
    <t xml:space="preserve"> High</t>
  </si>
  <si>
    <t xml:space="preserve">Pre-treatment </t>
  </si>
  <si>
    <t>Pre-treatment risk levels by risk owner</t>
  </si>
  <si>
    <t xml:space="preserve">Risk Level </t>
  </si>
  <si>
    <t xml:space="preserve"> HIGH</t>
  </si>
  <si>
    <t xml:space="preserve"> MEDIUM</t>
  </si>
  <si>
    <t>Number of Post-mitigation risks by risk level</t>
  </si>
  <si>
    <t xml:space="preserve">Post-treatment </t>
  </si>
  <si>
    <t>Number of risks by risk level pre and post treatment</t>
  </si>
  <si>
    <t>Risks by treatment option chosen</t>
  </si>
  <si>
    <t>Count of Asset Group</t>
  </si>
  <si>
    <t>Accept</t>
  </si>
  <si>
    <t>Avoid</t>
  </si>
  <si>
    <t>Total treatment cost by risk level</t>
  </si>
  <si>
    <t>Sum of Treatment Cost</t>
  </si>
  <si>
    <t xml:space="preserve">Treatment action owner </t>
  </si>
  <si>
    <t>Count of Treatment Action Owner</t>
  </si>
  <si>
    <t>ISO/IEC 27001 Annex A Reference Controls</t>
  </si>
  <si>
    <t>The following list of reference controls is used within the risk assessment worksheets.</t>
  </si>
  <si>
    <t xml:space="preserve"> REF</t>
  </si>
  <si>
    <t>A.5 Organizational controls</t>
  </si>
  <si>
    <t>A.5.1 Policies for information security</t>
  </si>
  <si>
    <t>A.5.2 Information security roles and responsibilities</t>
  </si>
  <si>
    <t>A.5.3 Segregation of duties</t>
  </si>
  <si>
    <t>A.5.4 Management responsibilities</t>
  </si>
  <si>
    <t>A.5.5 Contact with authorities</t>
  </si>
  <si>
    <t>A.5.6 Contact with special interest groups</t>
  </si>
  <si>
    <t>A.5.7 Threat intelligence</t>
  </si>
  <si>
    <t>A.5.8 Information security in project management</t>
  </si>
  <si>
    <t>A.5.9 Inventory of information and other associated assets</t>
  </si>
  <si>
    <t>A.5.10 Acceptable use of information and other associated assets</t>
  </si>
  <si>
    <t>A.5.11 Return of assets</t>
  </si>
  <si>
    <t>A.5.12 Classification of information</t>
  </si>
  <si>
    <t>A.5.13 Labelling of information</t>
  </si>
  <si>
    <t>A.5.14 Information transfer</t>
  </si>
  <si>
    <t>A.5.15 Access control</t>
  </si>
  <si>
    <t>A.5.16 Identity management</t>
  </si>
  <si>
    <t>A.5.17 Authentication information</t>
  </si>
  <si>
    <t>A.5.20 Addressing information security within supplier agreements</t>
  </si>
  <si>
    <t>A.5.21 Managing information security in the ICT supply chain</t>
  </si>
  <si>
    <t>A.5.22 Monitoring, review and change management of supplier services</t>
  </si>
  <si>
    <t>A.5.23 Information security for use of cloud services</t>
  </si>
  <si>
    <t>A.5.24 Information security incident management planning and preparation</t>
  </si>
  <si>
    <t>A.5.25 Assessment and decision on information security events</t>
  </si>
  <si>
    <t>A.5.26 Response to information security incidents</t>
  </si>
  <si>
    <t>A.5.27 Learning from information security incidents</t>
  </si>
  <si>
    <t>A.5.28 Collection of evidence</t>
  </si>
  <si>
    <t>A.5.29 Information security during disruption</t>
  </si>
  <si>
    <t>A.5.30 ICT readiness for business continuity</t>
  </si>
  <si>
    <t>A.5.31 Legal, statutory, regulatory and contractual requirements</t>
  </si>
  <si>
    <t>A.5.32 Intellectual property rights</t>
  </si>
  <si>
    <t>A.5.33 Protection of records</t>
  </si>
  <si>
    <t>A.5.34 Privacy and protection of PII</t>
  </si>
  <si>
    <t>A.5.35 Independent review of information security</t>
  </si>
  <si>
    <t>A.5.36 Compliance with policies, rules and standards for information security</t>
  </si>
  <si>
    <t>A.5.37 Documented operating procedures</t>
  </si>
  <si>
    <t>A.6 People controls</t>
  </si>
  <si>
    <t>A.6.1 Screening</t>
  </si>
  <si>
    <t>A.6.2 Terms and conditions of employment</t>
  </si>
  <si>
    <t>A.6.3 Information security awareness, education and training</t>
  </si>
  <si>
    <t>A.6.4 Disciplinary process</t>
  </si>
  <si>
    <t>A.6.5 Responsibilities after termination or change of employment</t>
  </si>
  <si>
    <t>A.6.6 Confidentiality or non-disclosure agreements</t>
  </si>
  <si>
    <t>A.6.7 Remote working</t>
  </si>
  <si>
    <t>A.6.8 Information security event reporting</t>
  </si>
  <si>
    <t>A.7 Physical controls</t>
  </si>
  <si>
    <t>A.7.1 Physical security perimeters</t>
  </si>
  <si>
    <t>A.7.2 Physical entry</t>
  </si>
  <si>
    <t>A.7.3 Securing offices, rooms and facilities</t>
  </si>
  <si>
    <t>A.7.4 Physical security monitoring</t>
  </si>
  <si>
    <t>A.7.5 Protecting against physical and environmental threats</t>
  </si>
  <si>
    <t>A.7.6 Working in secure areas</t>
  </si>
  <si>
    <t>A.7.7 Clear desk and clear screen</t>
  </si>
  <si>
    <t>A.7.8 Equipment siting and protection</t>
  </si>
  <si>
    <t>A.7.9 Security of assets off-premises</t>
  </si>
  <si>
    <t>A.7.10 Storage media</t>
  </si>
  <si>
    <t>A.7.11 Supporting utilities</t>
  </si>
  <si>
    <t>A.7.12 Cabling security</t>
  </si>
  <si>
    <t>A.7.13 Equipment maintenance</t>
  </si>
  <si>
    <t>A.7.14 Secure disposal or re-use of equipment</t>
  </si>
  <si>
    <t>A.8 Technological controls</t>
  </si>
  <si>
    <t>A.8.2 Privileged access rights</t>
  </si>
  <si>
    <t>A.8.3 Information access restriction</t>
  </si>
  <si>
    <t>A.8.4 Access to source code</t>
  </si>
  <si>
    <t>A.8.5 Secure authentication</t>
  </si>
  <si>
    <t>A.8.6 Capacity management</t>
  </si>
  <si>
    <t>A.8.7 Protection against malware</t>
  </si>
  <si>
    <t>A.8.8 Management of technical vulnerabilities</t>
  </si>
  <si>
    <t>A.8.9 Configuration management</t>
  </si>
  <si>
    <t>A.8.10 Information deletion</t>
  </si>
  <si>
    <t>A.8.11 Data masking</t>
  </si>
  <si>
    <t>A.8.12 Data leakage prevention</t>
  </si>
  <si>
    <t>A.8.13 Information backup</t>
  </si>
  <si>
    <t>A.8.14 Redundancy of information processing facilities</t>
  </si>
  <si>
    <t>A.8.17 Clock synchronization</t>
  </si>
  <si>
    <t>A.8.18 Use of privileged utility programs</t>
  </si>
  <si>
    <t>A.8.19 Installation of software on operational systems</t>
  </si>
  <si>
    <t>A.8.20 Networks security</t>
  </si>
  <si>
    <t>A.8.21 Security of network services</t>
  </si>
  <si>
    <t>A.8.22 Segregation of networks</t>
  </si>
  <si>
    <t>A.8.23 Web filtering</t>
  </si>
  <si>
    <t>A.8.25 Secure development life cycle</t>
  </si>
  <si>
    <t>A.8.26 Application security requirements</t>
  </si>
  <si>
    <t>A.8.27 Secure system architecture and engineering principles</t>
  </si>
  <si>
    <t>A.8.29 Security testing in development and acceptance</t>
  </si>
  <si>
    <t>A.8.30 Outsourced development</t>
  </si>
  <si>
    <t>A.8.31 Separation of development, test and production environments</t>
  </si>
  <si>
    <t>A.8.33 Test information</t>
  </si>
  <si>
    <t>A.8.34 Protection of information systems during audit testing</t>
  </si>
  <si>
    <t>Asset | Threat | Vulnerability | Risk Type | Control Examples</t>
  </si>
  <si>
    <t>The following list shows a list of assets, with associated threats and vulnerabilities, risk type and the Annex A controls that might be used to treat them.</t>
  </si>
  <si>
    <t>You may use this table to help to identify relevant risks for your organization and to define where the controls from Annex A of ISO/IEC 27001 are applicable.</t>
  </si>
  <si>
    <t>EXAMPLE ASSET GROUP</t>
  </si>
  <si>
    <t>EXAMPLE THREAT(S)</t>
  </si>
  <si>
    <t>EXAMPLE VULNERABILITY</t>
  </si>
  <si>
    <t>RISK TYPE(S)</t>
  </si>
  <si>
    <t>ANNEX A CONTROL</t>
  </si>
  <si>
    <t>Organization</t>
  </si>
  <si>
    <t>It is not clear what the organization's rules are for managing information security. Employees and others aren't aware of what they should be doing to protect the organization</t>
  </si>
  <si>
    <t>Policies either don't exist or don't cover the required areas</t>
  </si>
  <si>
    <t>Availability</t>
  </si>
  <si>
    <t>New threats have emerged that need to be addressed in policies</t>
  </si>
  <si>
    <t>Policies are out of date, do not reflect the organization's business or technical setup</t>
  </si>
  <si>
    <t>Confidentiality, Integrity and Availability</t>
  </si>
  <si>
    <t>It is not clear who should be doing what with respect to information security</t>
  </si>
  <si>
    <t>Roles and responsibilities for information security have not been clearly defined</t>
  </si>
  <si>
    <t>Confidentiality</t>
  </si>
  <si>
    <t>Business activities</t>
  </si>
  <si>
    <t>An individual is able to perform all of the steps required to perform a sensitive business process. Checks are insufficient to prevent accidental amendment or destruction of data</t>
  </si>
  <si>
    <t>Processes have not been designed to limit the scope for deliberate or accidental actions</t>
  </si>
  <si>
    <t>The organization is unaware of their legal or regulatory responsibilities and may break the law without realising it</t>
  </si>
  <si>
    <t>No contact is in place with bodies who may impose requirements on our organisation</t>
  </si>
  <si>
    <t>Confidentiality and Availability</t>
  </si>
  <si>
    <t>The organization lacks up to date knowledge of information security issues such as current threats, new controls and other relevant information</t>
  </si>
  <si>
    <t>No budget is currently available for attendance at conferences, seminars and training events</t>
  </si>
  <si>
    <t>Information gathered and created during projects is not adequately protected</t>
  </si>
  <si>
    <t>Project document stores are set up ad hoc and often outside of more formal access controls</t>
  </si>
  <si>
    <t>Data held on mobile devices is prone to loss or theft of the device, or unauthorised access</t>
  </si>
  <si>
    <t>No guidance is given to employees about how to protect their mobile devices</t>
  </si>
  <si>
    <t>Physical/Site</t>
  </si>
  <si>
    <t>A teleworking site does not meet the information security standards ensured at main locations and data is exposed to loss or theft</t>
  </si>
  <si>
    <t>Teleworking arrangements are informal and no checking is done of the environment in place</t>
  </si>
  <si>
    <t>It is not clear who does what with respect to cloud security and one party (e.g. cloud service customer) is under the impression that the other (e.g. cloud service provider) is monitoring a particular aspect</t>
  </si>
  <si>
    <t>No split of responsibilities is agreed as part of the cloud take-on service</t>
  </si>
  <si>
    <t>People</t>
  </si>
  <si>
    <t>An employee is recruited who could deliberately breach information security</t>
  </si>
  <si>
    <t>Employee references are not thoroughly checked and no additional background checks are mandated</t>
  </si>
  <si>
    <t>It is not clear to employees what their responsibilities for information security are</t>
  </si>
  <si>
    <t>Current employment contracts don't cover information security in sufficient detail</t>
  </si>
  <si>
    <t>Employees do not follow security policies as they are regarded as irrelevant</t>
  </si>
  <si>
    <t>Management do not enforce and emphasise the need to comply with information security policies</t>
  </si>
  <si>
    <t>Employees and contractors are not aware of information security policies and  are unable to spot potential breaches</t>
  </si>
  <si>
    <t>Little information security awareness training is currently conducted, either as part of induction or ongoing employment</t>
  </si>
  <si>
    <t>The consequences of committing an information security breach are not sufficiently clear to employees</t>
  </si>
  <si>
    <t xml:space="preserve">Several recent high profile security breaches have not been followed up with disciplinary action </t>
  </si>
  <si>
    <t xml:space="preserve">Ex-employees could breach information security after leaving e.g. making confidential information public </t>
  </si>
  <si>
    <t>It is not made clear to leavers that they have continuing obligations for confidentiality after employment has ended</t>
  </si>
  <si>
    <t>It is not clear what assets we are trying to protect and where they are located</t>
  </si>
  <si>
    <t>Information is spread across many unmanaged data sets and their contents are uncertain</t>
  </si>
  <si>
    <t>No-one takes responsibility for protecting specific assets</t>
  </si>
  <si>
    <t>There is a tendency to assume that someone else is protecting an asset</t>
  </si>
  <si>
    <t>Integrity and Availability</t>
  </si>
  <si>
    <t>Information and assets are used in ways that are not acceptable to the organization e.g. devices are physically abused and information left exposed</t>
  </si>
  <si>
    <t>Employees are not told what actions are regarded as acceptable or unacceptable</t>
  </si>
  <si>
    <t>Assets are not returned when someone leaves the organization</t>
  </si>
  <si>
    <t>The leaver procedure doesn't currently cover the return of all assets</t>
  </si>
  <si>
    <t>Integrity</t>
  </si>
  <si>
    <t>Assets that are stored with a cloud service provider are not returned</t>
  </si>
  <si>
    <t>System decommissioning processes are outdated and don't cover cloud services</t>
  </si>
  <si>
    <t>It is not clear how specific items of information should be protected</t>
  </si>
  <si>
    <t>The types of information that require specific protection have not been defined</t>
  </si>
  <si>
    <t>Employees are unable to tell how information should be protected</t>
  </si>
  <si>
    <t>Definitions of sensitivity are varied across departments; information which one department regards as sensitive is not well protected in another</t>
  </si>
  <si>
    <t>Assets are handled inappropriately due to a lack of definition of how they should be addressed</t>
  </si>
  <si>
    <t>Procedures do not define the controls required according to the classification of the asset</t>
  </si>
  <si>
    <t>Removable media is used without effective protection of the data held on it</t>
  </si>
  <si>
    <t>Unencrypted memory sticks are routinely used as part of business processes, and for home working</t>
  </si>
  <si>
    <t>The information stored on media is vulnerable to compromise when it is disposed of</t>
  </si>
  <si>
    <t>Old computers are currently given to charity with just a factory reset</t>
  </si>
  <si>
    <t>Data held on media is not adequately protected whilst in transit e.g. by the use of encryption</t>
  </si>
  <si>
    <t>Unencrypted backup tapes are sometimes left unattended in a vehicle during the transfer process</t>
  </si>
  <si>
    <t>Employees or third parties have access to information without authorisation or by mistake</t>
  </si>
  <si>
    <t>Access to some parts of the shared folder system is too loose for the types of information stored on it</t>
  </si>
  <si>
    <t>A user could gain unauthorised access to information via a network that they have no reason to legitimately use</t>
  </si>
  <si>
    <t>Guest Wi-Fi is connected to the main network without an adequate firewall in place</t>
  </si>
  <si>
    <t>Confidentiality and Integrity</t>
  </si>
  <si>
    <t>User accounts are created without authority or not removed when no longer needed</t>
  </si>
  <si>
    <t>The user account creation process lacks sufficient oversight from management</t>
  </si>
  <si>
    <t>Users are given an inappropriate level of access within systems</t>
  </si>
  <si>
    <t xml:space="preserve">Some user role definitions are too broad; more granular definitions are required </t>
  </si>
  <si>
    <t>Privileged access rights could be used by an unauthorised person to breach information security</t>
  </si>
  <si>
    <t xml:space="preserve">Some systems are not fully understood and so admin level access is often provided by default </t>
  </si>
  <si>
    <t>User passwords are known to someone other than the user to whom they relate</t>
  </si>
  <si>
    <t>The help desk procedure to issue password resets is not sufficiently secure</t>
  </si>
  <si>
    <t>Inappropriate levels of access remain in place long term and attempts to increase permissions are not spotted</t>
  </si>
  <si>
    <t>People transferring between roles often retain the access they had in their previous role</t>
  </si>
  <si>
    <t>Ex-users still have access even when they have left the organization</t>
  </si>
  <si>
    <t>The process to disable leavers' user accounts takes too long</t>
  </si>
  <si>
    <t>Users share user accounts and let others know their passwords</t>
  </si>
  <si>
    <t>Temporary employees are often told to use shared user accounts</t>
  </si>
  <si>
    <t>Too much access is allowed to a user where their role does not require it</t>
  </si>
  <si>
    <t>Some systems only allow for either an admin or user level access, with no granularity of access available</t>
  </si>
  <si>
    <t>Logon to secure systems is possible by unauthorised users</t>
  </si>
  <si>
    <t>Some potentially sensitive HR information is available via a hyperlink without logging on</t>
  </si>
  <si>
    <t>Users do not set appropriately-strong passwords</t>
  </si>
  <si>
    <t>Many users choose to cycle round a few, known passwords</t>
  </si>
  <si>
    <t>A privileged utility program could be used to bypass security controls and gain unauthorised access to information</t>
  </si>
  <si>
    <t>Database editing tools are generally used in development, and may be accessible outside that team</t>
  </si>
  <si>
    <t>Program source code could be destroyed or tampered with to benefit an attacker</t>
  </si>
  <si>
    <t>Access to source code is not currently logged</t>
  </si>
  <si>
    <t>The use of encryption within the organization is haphazard and uncoordinated, resulting in a lack of effectiveness and possible illegal use</t>
  </si>
  <si>
    <t>The encryption algorithms and the key lengths used are not always appropriate for the purpose</t>
  </si>
  <si>
    <t>Cryptographic keys are often lost or compromised, potentially resulting in the loss of encrypted data</t>
  </si>
  <si>
    <t>There are no guidelines, rules, or secure storage locations provided for cryptographic keys</t>
  </si>
  <si>
    <t>It is not clear where physical security has been, or needs to be, applied</t>
  </si>
  <si>
    <t>Some locations are shared with other companies and physical separation is badly-defined</t>
  </si>
  <si>
    <t>Unauthorised people are able to bypass entry controls</t>
  </si>
  <si>
    <t>Care of access cards in some locations is inadequate e.g. stored in unlocked drawers</t>
  </si>
  <si>
    <t>A.11.1.2 Physical entry controls</t>
  </si>
  <si>
    <t>Unauthorised people are able to gain physical access to sensitive information</t>
  </si>
  <si>
    <t>Some rooms which are used to discuss sensitive business issues, involving the use of whiteboards, are not sufficiently secured</t>
  </si>
  <si>
    <t>An accident, attack or natural disaster could destroy or severely affect sensitive information and its processing</t>
  </si>
  <si>
    <t>A new chemical processing plant has been constructed near to the data centre</t>
  </si>
  <si>
    <t>People in secure areas leave the area open to attack or unauthorised access</t>
  </si>
  <si>
    <t>No regular checks are made on how well secure areas are maintained</t>
  </si>
  <si>
    <t>Access could be gained to secure areas via a publicly-accessible delivery area</t>
  </si>
  <si>
    <t>At some smaller locations, deliveries are made to within a secure office</t>
  </si>
  <si>
    <t>Screens showing sensitive information can be seen by unauthorised people</t>
  </si>
  <si>
    <t xml:space="preserve">Some of the computer screens in HR point towards a glass partition with an employee rest area on the other side of it </t>
  </si>
  <si>
    <t>Essential facilities are disabled due to a power outage</t>
  </si>
  <si>
    <t>Power supply is variable at some locations, with regular disruptions</t>
  </si>
  <si>
    <t>Someone could listen in to sensitive information by tapping a cable</t>
  </si>
  <si>
    <t>Some cables are routed along the outside of walls to which there is public access</t>
  </si>
  <si>
    <t>Equipment often breaks down or fails to protect information due to a lack of appropriate care</t>
  </si>
  <si>
    <t>Some of the equipment used for business-critical operations is old</t>
  </si>
  <si>
    <t>Equipment, information or software is removed from a location without the knowledge or permission of the organization</t>
  </si>
  <si>
    <t>No rules are in place about which equipment may be removed, and under what circumstances</t>
  </si>
  <si>
    <t>Assets containing sensitive information are left unprotected whilst offsite</t>
  </si>
  <si>
    <t>Laptops are often taken to conferences, on planes and in hotel rooms</t>
  </si>
  <si>
    <t>Sensitive information can be read from storage media that has been disposed of or reused</t>
  </si>
  <si>
    <t>Devices with flash storage are not always wiped effectively when being disposed of</t>
  </si>
  <si>
    <t xml:space="preserve">Someone could access systems they are not authorised to using a device that has been left logged on </t>
  </si>
  <si>
    <t>Employees often leave their desks for meetings, lunch and coffee breaks</t>
  </si>
  <si>
    <t>Support staff, e.g. cleaners and security personnel, are able to read sensitive information left unattended on desks</t>
  </si>
  <si>
    <t>Work in progress is often left out overnight</t>
  </si>
  <si>
    <t>Loss of data due to incorrect performance of operating procedures</t>
  </si>
  <si>
    <t>Operating procedures are not clear to all employees who need to perform them and vary according to who does them</t>
  </si>
  <si>
    <t>Information security may become compromised when changes are made to the organization, business processes or information processing facilities and systems</t>
  </si>
  <si>
    <t>Changes are managed informally, with little focus on information security</t>
  </si>
  <si>
    <t>Systems run slowly or not at all because the resources required are not available</t>
  </si>
  <si>
    <t>Performance and capacity of resources such as storage and processors is not monitored</t>
  </si>
  <si>
    <t xml:space="preserve">A poorly-tested software change results in errors in a business-critical process </t>
  </si>
  <si>
    <t>Software changes made in development are put live without adequate testing or supervision</t>
  </si>
  <si>
    <t>An administrator of a cloud service makes a serious and unrecoverable error that affects service availability or security</t>
  </si>
  <si>
    <t>Inadequate control over admin functions that have the potential to disrupt operations if used incorrectly or inappropriately</t>
  </si>
  <si>
    <t>Systems are  affected by malware e.g. ransomware or spyware, having a serious effect on service delivery and security</t>
  </si>
  <si>
    <t>The anti-malware program in use does not have a good reputation for effectiveness</t>
  </si>
  <si>
    <t>Data is  lost and cannot be recovered from backup</t>
  </si>
  <si>
    <t>It is not clear what backups are required or take place</t>
  </si>
  <si>
    <t>Suspicious events are not detected due to inadequate logs being kept</t>
  </si>
  <si>
    <t>Logging is inconsistent and poorly configured in many areas of hardware and software</t>
  </si>
  <si>
    <t>Incriminating logs are wiped or altered by an attacker</t>
  </si>
  <si>
    <t>Logs are not subject to access controls and are not backed up</t>
  </si>
  <si>
    <t>An insider with admin access views sensitive data</t>
  </si>
  <si>
    <t>The activities of administrators and operators cannot be verified</t>
  </si>
  <si>
    <t>The time sequence of an attack cannot be identified because each of the clocks involved tell a different time</t>
  </si>
  <si>
    <t>Clocks on systems are not synchronised</t>
  </si>
  <si>
    <t>The organization can't tell if a cloud service has been compromised because no logs are kept</t>
  </si>
  <si>
    <t>Little monitoring of cloud services is in place</t>
  </si>
  <si>
    <t>Software is installed on an operational system which causes an unwanted effect e.g. compatibility issues or the introduction of vulnerabilities</t>
  </si>
  <si>
    <t>Installation of software is not subject to change control</t>
  </si>
  <si>
    <t>A hacker exploits an undetected vulnerability and steals information</t>
  </si>
  <si>
    <t xml:space="preserve">Vulnerabilities in systems are not identified or addressed and could be exploited by attackers </t>
  </si>
  <si>
    <t>A user installs some software that introduces vulnerabilities to the organization and its network</t>
  </si>
  <si>
    <t>Users regularly install downloaded software on to their computers and onto servers</t>
  </si>
  <si>
    <t>Penetration tests disrupt a live system during peak service hours</t>
  </si>
  <si>
    <t>There is no coordination between the audit department and business operations</t>
  </si>
  <si>
    <t>An external threat actor is able to gain access to the network</t>
  </si>
  <si>
    <t>Network devices and their configuration are unmanaged and uncoordinated, so introducing vulnerabilities for the organization</t>
  </si>
  <si>
    <t>The required security mechanisms, service levels and management requirements for network services are not agreed with the supplier and so are not provided</t>
  </si>
  <si>
    <t>Contracts with suppliers are generally quite vague regarding the services provided</t>
  </si>
  <si>
    <t>An external threat actor is able to gain access to a less critical network, and then use this access to enter more business-critical networks</t>
  </si>
  <si>
    <t>An attacker, having gained access to the network, is able to see and access all systems and devices</t>
  </si>
  <si>
    <t>A hacker is able to exploit the weaknesses in virtual networking to carry out an attack</t>
  </si>
  <si>
    <t>Virtual networks are configured differently to physical ones and as a consequence don't provide the same required level of security</t>
  </si>
  <si>
    <t>Information in transit is intercepted and compromised</t>
  </si>
  <si>
    <t>It is not clear what controls should be applied to information in transit</t>
  </si>
  <si>
    <t>Information in transit to and from third parties is intercepted and compromised</t>
  </si>
  <si>
    <t>Transfer of information between the organization and external parties is not subject to adequate protection</t>
  </si>
  <si>
    <t>Confidential emails are intercepted and used as the basis for an attack e.g. fraudulent bank transfer</t>
  </si>
  <si>
    <t>information sent in electronic messaging systems e.g. email and messenger services, is not protected</t>
  </si>
  <si>
    <t>Confidential information is shared with others by a third party because it was not agreed that this is not allowed</t>
  </si>
  <si>
    <t>Non-disclosure agreements are not routinely put in place</t>
  </si>
  <si>
    <t>New or changed systems are open to attack in ways that could have been predicted</t>
  </si>
  <si>
    <t>Information security is not considered adequately when new or enhanced systems are designed</t>
  </si>
  <si>
    <t>Information involved in application services is intercepted and modified in order to commit fraud</t>
  </si>
  <si>
    <t>The level of encryption used for application services is weak</t>
  </si>
  <si>
    <t>Application service transactions are used to mount an attack on the organization or its business partners</t>
  </si>
  <si>
    <t>Application service transactions are open to amendment whilst in transit, with no indication that they have been altered</t>
  </si>
  <si>
    <t>Software is written that has an unacceptable level of vulnerabilities</t>
  </si>
  <si>
    <t>No guidance is given to developers about how to write secure code</t>
  </si>
  <si>
    <t>Changes are uncontrolled whilst in development leading to poor quality software and badly-defined releases</t>
  </si>
  <si>
    <t>No formal change controls procedures are used within the organization</t>
  </si>
  <si>
    <t>Business critical applications are adversely affected when the underlying operating platform is changed</t>
  </si>
  <si>
    <t>There is no coordination between the teams rolling out operating platform changes and the application support teams</t>
  </si>
  <si>
    <t>Significant modifications to software packages introduce security vulnerabilities, functionality issues and support problems</t>
  </si>
  <si>
    <t>There is a culture of making sometimes unnecessary changes to off the shelf packages, for limited business benefits</t>
  </si>
  <si>
    <t>Systems are designed without adequate regard to, or knowledge of, information security</t>
  </si>
  <si>
    <t>No guidance is given to system designers about how to create secure systems</t>
  </si>
  <si>
    <t>Development environments are able to be accessed by unauthorised persons who could introduce code that makes future attacks easier</t>
  </si>
  <si>
    <t>The development environment has inadequate access control</t>
  </si>
  <si>
    <t>Code developed by an outsourcing provider may contain security flaws that are not discovered by the organization</t>
  </si>
  <si>
    <t>There are few checks on how code is written by third parties</t>
  </si>
  <si>
    <t>Security functionality doesn't work correctly in live software</t>
  </si>
  <si>
    <t>No testing is routinely carried out on the security aspects of new or changed systems</t>
  </si>
  <si>
    <t>Newly-implemented systems don't work as intended</t>
  </si>
  <si>
    <t>Insufficient time is allocated to checking systems before they go live</t>
  </si>
  <si>
    <t>Test data doesn't identify issues with the software being tested and is itself of value to an attacker (e.g. if copied from live data)</t>
  </si>
  <si>
    <t>Test data is out of date and unrepresentative of system usage. It is held in an unsecured area</t>
  </si>
  <si>
    <t>An attacker gains access to the organization's network using logon credentials obtained from a supplier who has legitimate access</t>
  </si>
  <si>
    <t>Little is known about the security controls that suppliers have in place</t>
  </si>
  <si>
    <t>A supplier, who provides services to and has access to the organization's information, has inadequate security controls in place and suffers a breach involving the organization's data</t>
  </si>
  <si>
    <t>No contractual requirements are specified that suppliers must meet in the area of information security</t>
  </si>
  <si>
    <t>A supplier uses contractors who do not have adequate security controls in place</t>
  </si>
  <si>
    <t>We are generally unaware of whether suppliers use subcontractors, and if they do, who they are</t>
  </si>
  <si>
    <t>A supplier is not delivering the level of service that they should</t>
  </si>
  <si>
    <t>No statistics are collected or reported on regarding the levels of service provided by suppliers</t>
  </si>
  <si>
    <t xml:space="preserve">A supplier e.g. cloud service provider, makes a change that is not expected and which significantly affects the organization's business processes </t>
  </si>
  <si>
    <t>Although we are informed of changes, we don't generally take notice of these as part of our change management process</t>
  </si>
  <si>
    <t>It is not clear who should do what when an information security incident occurs</t>
  </si>
  <si>
    <t>Responsibilities for information security incidents are not defined and no-one knows what to do if one is detected</t>
  </si>
  <si>
    <t>Management is not aware that an information security event has been detected</t>
  </si>
  <si>
    <t>Events are happening all the time, but we don't have a way to bring them to the right person's attention</t>
  </si>
  <si>
    <t>Weaknesses in information security do not get addressed because they are not reported</t>
  </si>
  <si>
    <t>No-one has been asked to tell us if they become aware of a potential security issue</t>
  </si>
  <si>
    <t>No decisions are taken about whether events should be escalated to incidents</t>
  </si>
  <si>
    <t>We don't have an effective way to assess whether an event, or collection of events, represents an incident or not</t>
  </si>
  <si>
    <t>The response to information security incidents is inadequate and procedures are not used</t>
  </si>
  <si>
    <t>There is no plan for what to do if a serious incident occurs</t>
  </si>
  <si>
    <t>Nothing is learned from incidents and no improvements are made</t>
  </si>
  <si>
    <t>We tend to suffer the same types of incidents time after time</t>
  </si>
  <si>
    <t>No usable or admissible evidence is collected as a result of a lack of awareness of how this must be done. Because of this, nobody can be prosecuted</t>
  </si>
  <si>
    <t>No-one knows how to preserve or collect evidence in a form that would be admissible in court</t>
  </si>
  <si>
    <t>It is not known what level of information security must be provided during a disruptive event</t>
  </si>
  <si>
    <t>Business continuity planning generally has little input from information security</t>
  </si>
  <si>
    <t>Information security controls become ineffective when a disruptive event happens</t>
  </si>
  <si>
    <t>Some of the business continuity plans in place involve using facilities with few controls available, compared to normal operation</t>
  </si>
  <si>
    <t>The intended information security controls don't work during a disruptive event because they have never been tested</t>
  </si>
  <si>
    <t>Information security controls are not routinely tested as part of business continuity tests</t>
  </si>
  <si>
    <t>Information processing facilities fail due to a lack of sufficient redundancy</t>
  </si>
  <si>
    <t>The level of availability required from systems is often not defined</t>
  </si>
  <si>
    <t>It is not known what legislative, regulatory and contractual requirements each information system must meet and, as a result, such requirements are not met</t>
  </si>
  <si>
    <t>There is no procedure or resourcing to understand what legal, regulatory and contractual requirements we should be meeting</t>
  </si>
  <si>
    <t>The organization is subject to legal action as a result of breaching intellectual property rights and licensing requirements</t>
  </si>
  <si>
    <t>People in the business are generally not aware about copyright laws and what we should be doing to stay within them</t>
  </si>
  <si>
    <t>Records that are required to be kept are lost, falsified or accessed, resulting in legal or contractual issues</t>
  </si>
  <si>
    <t>There is no definition of the records that should be retained, how long for, and how they should be protected</t>
  </si>
  <si>
    <t>Laws requiring the protection of personally identifiable information are breached, resulting in prosecution and fines</t>
  </si>
  <si>
    <t>The organization's processing of PII does not always meet legal requirements</t>
  </si>
  <si>
    <t>Cryptography is used inappropriately, resulting in prosecution</t>
  </si>
  <si>
    <t>There is little understanding of what may, and may not, be done in the area of cryptography</t>
  </si>
  <si>
    <t>The implementation of information security is never independently checked and many controls do not work as intended</t>
  </si>
  <si>
    <t>Although controls are theoretically in place, many aspects of the business have changed and the controls have not been changed with them</t>
  </si>
  <si>
    <t>Management does not check that policies and procedures are being followed and people stop using them over time</t>
  </si>
  <si>
    <t>Policies are not generally available and little re-enforcement of their messages is routinely given</t>
  </si>
  <si>
    <t>As systems evolve, security controls become less effective and more vulnerable to attack</t>
  </si>
  <si>
    <t>Operating platforms are regularly being updated, but little attention is paid to whether the changes affect security</t>
  </si>
  <si>
    <t>Examples of Assets</t>
  </si>
  <si>
    <t>The following is an initial list of typical assets that may be use as guidance for your risk assessment.</t>
  </si>
  <si>
    <t>Note: information assets should be captured in more detail in the Information Asset Inventory.</t>
  </si>
  <si>
    <t xml:space="preserve"> ASSET GROUP</t>
  </si>
  <si>
    <t>SUB-CATEGORY</t>
  </si>
  <si>
    <t>ASSET</t>
  </si>
  <si>
    <t>Business-critical activities</t>
  </si>
  <si>
    <t>Supporting activities</t>
  </si>
  <si>
    <t>Compliance</t>
  </si>
  <si>
    <t>Cloud customer data</t>
  </si>
  <si>
    <t>Personally identifiable information (PII)</t>
  </si>
  <si>
    <t>Non-PII</t>
  </si>
  <si>
    <t>Corporate</t>
  </si>
  <si>
    <t>Budgets</t>
  </si>
  <si>
    <t>Sales forecasts</t>
  </si>
  <si>
    <t>Corporate plans</t>
  </si>
  <si>
    <t>Corporate policies</t>
  </si>
  <si>
    <t>Sales and Marketing</t>
  </si>
  <si>
    <t>Customer records - names, addresses, contacts</t>
  </si>
  <si>
    <t>Customer credit card information</t>
  </si>
  <si>
    <t>Customer bank details e.g. Direct Debits</t>
  </si>
  <si>
    <t>Website information</t>
  </si>
  <si>
    <t>Customer preferences and purchase history</t>
  </si>
  <si>
    <t>Customer correspondence and complaints</t>
  </si>
  <si>
    <t>Human Resources</t>
  </si>
  <si>
    <t>Employee records  - address, DOB, insurance numbers</t>
  </si>
  <si>
    <t>Employee expense claims</t>
  </si>
  <si>
    <t>Payroll information, including bank details</t>
  </si>
  <si>
    <t>Training records</t>
  </si>
  <si>
    <t>Recruitment information</t>
  </si>
  <si>
    <t>Security clearance/check information</t>
  </si>
  <si>
    <t>Employee complaints/disciplinary records</t>
  </si>
  <si>
    <t>Sickness/occupational health records</t>
  </si>
  <si>
    <t>Employment contracts</t>
  </si>
  <si>
    <t>Finance</t>
  </si>
  <si>
    <t>Accounting records - invoices, bills, accounts</t>
  </si>
  <si>
    <t>Business account banking details</t>
  </si>
  <si>
    <t>Buying</t>
  </si>
  <si>
    <t>Supplier contact details</t>
  </si>
  <si>
    <t>Buying plans</t>
  </si>
  <si>
    <t>Commercial terms</t>
  </si>
  <si>
    <t>Legal</t>
  </si>
  <si>
    <t>Supplier contracts</t>
  </si>
  <si>
    <t>Customer contracts</t>
  </si>
  <si>
    <t>Property leases</t>
  </si>
  <si>
    <t>Credit agreements</t>
  </si>
  <si>
    <t>Insurance policies</t>
  </si>
  <si>
    <t>Operations</t>
  </si>
  <si>
    <t>Documents held on behalf of customers</t>
  </si>
  <si>
    <t>Product specifications and bills of materials</t>
  </si>
  <si>
    <t>Process and procedural documentation</t>
  </si>
  <si>
    <t>Intellectual Property specific to the organisation</t>
  </si>
  <si>
    <t>Resource plans</t>
  </si>
  <si>
    <t>Audit and Compliance</t>
  </si>
  <si>
    <t>Internal audit records</t>
  </si>
  <si>
    <t>External audit reports</t>
  </si>
  <si>
    <t>Risk assessments</t>
  </si>
  <si>
    <t>Email</t>
  </si>
  <si>
    <t>Accounting</t>
  </si>
  <si>
    <t>Payroll</t>
  </si>
  <si>
    <t>Bespoke software</t>
  </si>
  <si>
    <t>Intranet</t>
  </si>
  <si>
    <t>Website</t>
  </si>
  <si>
    <t>Design</t>
  </si>
  <si>
    <t>Office applications</t>
  </si>
  <si>
    <t>Marketing</t>
  </si>
  <si>
    <t>Industry-specific applications</t>
  </si>
  <si>
    <t>Computer servers</t>
  </si>
  <si>
    <t>Networking equipment</t>
  </si>
  <si>
    <t>Personal Computers</t>
  </si>
  <si>
    <t>Mobile devices e.g. tablets</t>
  </si>
  <si>
    <t>Mobile/Smart phones</t>
  </si>
  <si>
    <t>Network connections</t>
  </si>
  <si>
    <t>Network devices</t>
  </si>
  <si>
    <t>Network configurations</t>
  </si>
  <si>
    <t>Buildings</t>
  </si>
  <si>
    <t>Server rooms, including air conditioning and power units</t>
  </si>
  <si>
    <t>Machinery</t>
  </si>
  <si>
    <t>Stock</t>
  </si>
  <si>
    <t>Vehicles</t>
  </si>
  <si>
    <t>Gas supply</t>
  </si>
  <si>
    <t>Water</t>
  </si>
  <si>
    <t>Network services</t>
  </si>
  <si>
    <t>Telephone services</t>
  </si>
  <si>
    <t>Key resources</t>
  </si>
  <si>
    <t>Owner/Chief Executive</t>
  </si>
  <si>
    <t>Managers</t>
  </si>
  <si>
    <t>Engineers</t>
  </si>
  <si>
    <t>Knowledge holders</t>
  </si>
  <si>
    <t>Management</t>
  </si>
  <si>
    <t>Structure</t>
  </si>
  <si>
    <t>Project</t>
  </si>
  <si>
    <t>Suppliers</t>
  </si>
  <si>
    <t>Other</t>
  </si>
  <si>
    <t>Examples of Threats</t>
  </si>
  <si>
    <t>The following is a standard list of typical threats that may be use as guidance for your risk assessment.</t>
  </si>
  <si>
    <t xml:space="preserve"> THREAT CATEGORY</t>
  </si>
  <si>
    <t>THREAT</t>
  </si>
  <si>
    <t>EXAMPLE</t>
  </si>
  <si>
    <t>Human</t>
  </si>
  <si>
    <t>Malicious outsider</t>
  </si>
  <si>
    <t>Someone launches a denial of service attack on your cloud service platform</t>
  </si>
  <si>
    <t>Malicious insider</t>
  </si>
  <si>
    <t>An employee or trusted third party accesses cardholder data in an unauthorised manner from inside your network</t>
  </si>
  <si>
    <t>Loss of key personnel</t>
  </si>
  <si>
    <t>One or more people with key skills or knowledge are unavailable perhaps due to extended sickness</t>
  </si>
  <si>
    <t>Human error</t>
  </si>
  <si>
    <t>An employee accidentally deletes cardholder data</t>
  </si>
  <si>
    <t>Accidental loss</t>
  </si>
  <si>
    <t xml:space="preserve">A manager loses a memory stick with cardholder data on it </t>
  </si>
  <si>
    <t>Natural</t>
  </si>
  <si>
    <t>Fire</t>
  </si>
  <si>
    <t>Your data centre burns down due to an electrical fault</t>
  </si>
  <si>
    <t>Flood</t>
  </si>
  <si>
    <t>The nearby river breaks its banks and your main office is severely flooded</t>
  </si>
  <si>
    <t>Severe weather</t>
  </si>
  <si>
    <t>Non-one can get into the office due to the weather</t>
  </si>
  <si>
    <t>Earthquake</t>
  </si>
  <si>
    <t>The area of your main data centre is affected by an earth tremor that damages all your servers</t>
  </si>
  <si>
    <t>Lightning</t>
  </si>
  <si>
    <t>All your servers are fried by a lightning strike on the data centre building</t>
  </si>
  <si>
    <t>Technical</t>
  </si>
  <si>
    <t>Hardware failure</t>
  </si>
  <si>
    <t>A key physical server has a processor failure</t>
  </si>
  <si>
    <t>Software failure</t>
  </si>
  <si>
    <t>Your financial system processes invoices incorrectly due to a bug</t>
  </si>
  <si>
    <t>Virus/Malicious code</t>
  </si>
  <si>
    <t>A virus spreads throughout your network preventing access to your (and your customers') data</t>
  </si>
  <si>
    <t>Physical</t>
  </si>
  <si>
    <t>Sabotage</t>
  </si>
  <si>
    <t>A disgruntled ex-employee takes an axe to your server room</t>
  </si>
  <si>
    <t>Theft</t>
  </si>
  <si>
    <t>You come in on Monday morning to find some important drives have been stolen</t>
  </si>
  <si>
    <t>Arson</t>
  </si>
  <si>
    <t>Someone with a grudge against your organisation starts a fire during the night</t>
  </si>
  <si>
    <t>Environmental</t>
  </si>
  <si>
    <t>Hazardous waste</t>
  </si>
  <si>
    <t>A lorry carrying hazardous waste has an accident outside your office</t>
  </si>
  <si>
    <t>Power failure</t>
  </si>
  <si>
    <t>The sub-station supplying your area has a meltdown</t>
  </si>
  <si>
    <t>Gas supply failure</t>
  </si>
  <si>
    <t>There is a suspected leak and all supplies are turned off</t>
  </si>
  <si>
    <t>Operational</t>
  </si>
  <si>
    <t>Process error</t>
  </si>
  <si>
    <t>Your new data transfer procedure doesn't cater for unexpected circumstances and cardholder data is lost or sent to the wrong destination</t>
  </si>
  <si>
    <t>Crime scene</t>
  </si>
  <si>
    <t>A crime happens in or near your office and the area is sealed off by police</t>
  </si>
  <si>
    <t>This table should be used to decide upon the most appropriate likelihood for a particular threat.</t>
  </si>
  <si>
    <t>LIKELIHOOD</t>
  </si>
  <si>
    <t>DESCRIPTION</t>
  </si>
  <si>
    <t>SUMMARY</t>
  </si>
  <si>
    <t>Improbable</t>
  </si>
  <si>
    <t>Has never happened before and there is no reason to think it is any more likely now</t>
  </si>
  <si>
    <t>Unlikely</t>
  </si>
  <si>
    <t>There is a possibility that it could happen, but it probably won't</t>
  </si>
  <si>
    <t>Likely</t>
  </si>
  <si>
    <t xml:space="preserve">On balance, the risk is more likely to happen than not
</t>
  </si>
  <si>
    <t>Very Likely</t>
  </si>
  <si>
    <t>It would be a surprise if the risk did not occur either based on past frequency or current circumstances</t>
  </si>
  <si>
    <t>Almost certain</t>
  </si>
  <si>
    <t>Either already happens regularly or there is some reason to believe it is virtually imminent</t>
  </si>
  <si>
    <t>This table should be used as guidance to help to decide upon the correct impact rating for a particular threat.</t>
  </si>
  <si>
    <t xml:space="preserve"> IMPACT LEVEL</t>
  </si>
  <si>
    <t xml:space="preserve"> IMPACT AREAS</t>
  </si>
  <si>
    <t>Impact rating</t>
  </si>
  <si>
    <t>General description</t>
  </si>
  <si>
    <t>Effect on customers</t>
  </si>
  <si>
    <t>Financial cost</t>
  </si>
  <si>
    <t>Health and Safety</t>
  </si>
  <si>
    <t>Damage to reputation</t>
  </si>
  <si>
    <t>Legal, Contractual and Organizational Compliance</t>
  </si>
  <si>
    <t>Negligible</t>
  </si>
  <si>
    <t>No effect</t>
  </si>
  <si>
    <t>Very little or none</t>
  </si>
  <si>
    <t>Very small additional risk</t>
  </si>
  <si>
    <t>No implications</t>
  </si>
  <si>
    <t>Slight</t>
  </si>
  <si>
    <t>Some local disturbance to normal business operations</t>
  </si>
  <si>
    <t>Some</t>
  </si>
  <si>
    <t>Within acceptable limits</t>
  </si>
  <si>
    <t>Small risk of not meeting compliance</t>
  </si>
  <si>
    <t>Moderate</t>
  </si>
  <si>
    <t>Can still deliver product/service with some difficulty</t>
  </si>
  <si>
    <t>Unwelcome but could be borne</t>
  </si>
  <si>
    <t>Elevated risk requiring immediate attention</t>
  </si>
  <si>
    <t>In definite danger of operating illegally</t>
  </si>
  <si>
    <t>High</t>
  </si>
  <si>
    <t>Business is crippled in key areas</t>
  </si>
  <si>
    <t>Severe effect on income and/or profit</t>
  </si>
  <si>
    <t>Significant danger to life</t>
  </si>
  <si>
    <t>Operating illegally in some areas</t>
  </si>
  <si>
    <t>Very High</t>
  </si>
  <si>
    <t>Out of business; no service to customers</t>
  </si>
  <si>
    <t>Crippling; the organisation will go out of business</t>
  </si>
  <si>
    <t>Real or strong potential loss of life</t>
  </si>
  <si>
    <t>Severe fines and possible imprisonment of staff</t>
  </si>
  <si>
    <t>Selection Tables</t>
  </si>
  <si>
    <t>ONE TO FIVE</t>
  </si>
  <si>
    <t>OPTIONS</t>
  </si>
  <si>
    <t>Select…</t>
  </si>
  <si>
    <t>Share</t>
  </si>
  <si>
    <t>RISK TYPE</t>
  </si>
  <si>
    <t>TREATMENT ACTION STATUS</t>
  </si>
  <si>
    <t>In Progress</t>
  </si>
  <si>
    <t>Completed</t>
  </si>
  <si>
    <t>CI</t>
  </si>
  <si>
    <t>Rejected</t>
  </si>
  <si>
    <t>CA</t>
  </si>
  <si>
    <t>IA</t>
  </si>
  <si>
    <t>CIA</t>
  </si>
  <si>
    <t>Pivot Tables</t>
  </si>
  <si>
    <t>Risk Type Table</t>
  </si>
  <si>
    <t>Count of Risk Level</t>
  </si>
  <si>
    <t>Risk Owner Table</t>
  </si>
  <si>
    <t>Treatment Option Table</t>
  </si>
  <si>
    <t>Risks: Pre and Post Treatment</t>
  </si>
  <si>
    <t>Pre-Treatment</t>
  </si>
  <si>
    <t>Post-Treatment</t>
  </si>
  <si>
    <t>Treatment Cost Table</t>
  </si>
  <si>
    <t>Values</t>
  </si>
  <si>
    <t>تسميات الصفوف</t>
  </si>
  <si>
    <t>الإجمالي الكلي</t>
  </si>
  <si>
    <t>تسميات الأعمدة</t>
  </si>
  <si>
    <t xml:space="preserve">Digital Al-Afaq Bank </t>
  </si>
  <si>
    <t>CIO
CISO
Heads of department</t>
  </si>
  <si>
    <t>Abdullah, Chief Executive Officer (CEO)</t>
  </si>
  <si>
    <t>Lead Assessor — Issam (CISO)</t>
  </si>
  <si>
    <t>Phase 1 digital banking services, including Afaq Plus and Afaq Net, their supporting infrastructure, relevant identity and authentication services, approved cloud workloads, Core Banking, card and payment interfaces supporting the digital channels, the Riyadh Primary Data Centre, the Security Operations Centre, IT and Development offices, and the Jeddah Disaster Recovery Centre.
Excluded from this assessment are physical branch operations, standalone ATMs, corporate banking, treasury, investment, international banking operations, the legacy payroll system, and unrelated administrative systems and databa.</t>
  </si>
  <si>
    <t>This asset-based risk assessment has been conducted to support the implementation of an Information Security Management System aligned with ISO/IEC 27001:2022 for Digital Al-Afaq Bank’s Phase 1 digital banking services.
The assessment identifies and evaluates risks to information assets, software, infrastructure, services, facilities and personnel supporting Afaq Plus and Afaq Net. It considers customer information, authentication information, transaction records, source code, cloud workloads, network and firewall infrastructure, employee devices, security logs, historical incidents, vulnerability findings, supplier dependencies, and applicable legal and regulatory requirements.</t>
  </si>
  <si>
    <t>Risk scores are determined by multiplying Likelihood and Impact using a 1–5 scale.
Low risks with a score of 1–4 may be accepted without a formal treatment plan, subject to periodic monitoring and documented rationale.
Medium risks with a score of 5–10 require a documented treatment plan, a named Risk Owner, a target completion date, and periodic progress reporting.
High risks with a score of 11–15 require a documented treatment plan, formal governance oversight, and approval before implementation.
Critical risks with a score of 16–25 require immediate escalation to senior management, a documented risk treatment plan, monthly progress review, contingency arrangements, and explicit written executive approval before risk acceptance.
The risk assessment tool displays Low, Medium and High categories using its built-in formula. Risks scoring 16–25 must additionally be treated as Critical according to the Bank’s risk appetite and escalation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</si>
</sst>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809]dd\ mmmm\ yyyy;@"/>
  </numFmts>
  <fonts count="22" x14ac:knownFonts="1">
    <font>
      <sz val="11"/>
      <color theme="1"/>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sz val="11"/>
      <color rgb="FF444444"/>
      <name val="Calibri"/>
      <family val="2"/>
      <scheme val="minor"/>
    </font>
    <font>
      <b/>
      <sz val="11"/>
      <color rgb="FF444444"/>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
      <b/>
      <sz val="16"/>
      <color theme="1"/>
      <name val="Calibri"/>
      <family val="2"/>
      <scheme val="minor"/>
    </font>
    <font>
      <sz val="11"/>
      <color theme="0"/>
      <name val="Calibri"/>
      <family val="2"/>
      <scheme val="minor"/>
    </font>
    <font>
      <b/>
      <sz val="12"/>
      <color rgb="FF444444"/>
      <name val="Calibri"/>
      <family val="2"/>
      <scheme val="minor"/>
    </font>
    <font>
      <b/>
      <sz val="14"/>
      <color theme="1"/>
      <name val="Calibri"/>
      <family val="2"/>
      <scheme val="minor"/>
    </font>
    <font>
      <b/>
      <sz val="14"/>
      <color theme="0"/>
      <name val="Calibri"/>
      <family val="2"/>
      <scheme val="minor"/>
    </font>
    <font>
      <sz val="10"/>
      <color rgb="FF444444"/>
      <name val="Calibri"/>
      <family val="2"/>
      <scheme val="minor"/>
    </font>
    <font>
      <b/>
      <sz val="9"/>
      <color theme="1"/>
      <name val="Calibri"/>
      <family val="2"/>
      <scheme val="minor"/>
    </font>
    <font>
      <b/>
      <u/>
      <sz val="9"/>
      <color rgb="FF444444"/>
      <name val="Calibri"/>
      <family val="2"/>
      <scheme val="minor"/>
    </font>
    <font>
      <sz val="9"/>
      <color rgb="FF444444"/>
      <name val="Calibri"/>
      <family val="2"/>
      <scheme val="minor"/>
    </font>
    <font>
      <b/>
      <sz val="9"/>
      <color rgb="FF444444"/>
      <name val="Calibri"/>
      <family val="2"/>
      <scheme val="minor"/>
    </font>
    <font>
      <b/>
      <sz val="9"/>
      <color theme="0"/>
      <name val="Calibri"/>
      <family val="2"/>
      <scheme val="minor"/>
    </font>
    <font>
      <sz val="11"/>
      <name val="Calibri"/>
      <family val="2"/>
      <scheme val="minor"/>
    </font>
    <font>
      <b/>
      <sz val="14"/>
      <color rgb="FF000000"/>
      <name val="Calibri"/>
      <family val="2"/>
      <scheme val="minor"/>
    </font>
  </fonts>
  <fills count="10">
    <fill>
      <patternFill patternType="none"/>
    </fill>
    <fill>
      <patternFill patternType="gray125"/>
    </fill>
    <fill>
      <patternFill patternType="solid">
        <fgColor theme="3"/>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2"/>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0" tint="-4.9989318521683403E-2"/>
        <bgColor indexed="64"/>
      </patternFill>
    </fill>
  </fills>
  <borders count="17">
    <border>
      <left/>
      <right/>
      <top/>
      <bottom/>
      <diagonal/>
    </border>
    <border>
      <left/>
      <right style="medium">
        <color theme="0"/>
      </right>
      <top/>
      <bottom/>
      <diagonal/>
    </border>
    <border>
      <left style="medium">
        <color theme="0"/>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bottom style="thick">
        <color theme="2" tint="-0.499984740745262"/>
      </bottom>
      <diagonal/>
    </border>
    <border>
      <left/>
      <right/>
      <top/>
      <bottom style="thick">
        <color rgb="FF009BA4"/>
      </bottom>
      <diagonal/>
    </border>
    <border>
      <left/>
      <right/>
      <top/>
      <bottom style="thick">
        <color theme="0"/>
      </bottom>
      <diagonal/>
    </border>
    <border>
      <left style="thick">
        <color theme="0"/>
      </left>
      <right style="thick">
        <color theme="0"/>
      </right>
      <top style="thick">
        <color theme="0"/>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right style="thick">
        <color theme="0"/>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top/>
      <bottom style="thick">
        <color theme="2"/>
      </bottom>
      <diagonal/>
    </border>
    <border>
      <left/>
      <right/>
      <top/>
      <bottom style="medium">
        <color theme="2" tint="-0.499984740745262"/>
      </bottom>
      <diagonal/>
    </border>
    <border>
      <left style="medium">
        <color theme="0"/>
      </left>
      <right style="medium">
        <color theme="0"/>
      </right>
      <top/>
      <bottom/>
      <diagonal/>
    </border>
  </borders>
  <cellStyleXfs count="1">
    <xf numFmtId="0" fontId="0" fillId="0" borderId="0"/>
  </cellStyleXfs>
  <cellXfs count="115">
    <xf numFmtId="0" fontId="0" fillId="0" borderId="0" xfId="0"/>
    <xf numFmtId="0" fontId="4" fillId="0" borderId="0" xfId="0" applyFont="1"/>
    <xf numFmtId="0" fontId="4" fillId="0" borderId="0" xfId="0" applyFont="1" applyAlignment="1">
      <alignment vertical="top" wrapText="1"/>
    </xf>
    <xf numFmtId="0" fontId="4" fillId="0" borderId="0" xfId="0" applyFont="1" applyAlignment="1">
      <alignment vertical="top"/>
    </xf>
    <xf numFmtId="0" fontId="4" fillId="0" borderId="0" xfId="0" applyFont="1" applyAlignment="1">
      <alignment horizontal="right" vertical="top"/>
    </xf>
    <xf numFmtId="0" fontId="0" fillId="0" borderId="0" xfId="0" applyAlignment="1">
      <alignment horizontal="left"/>
    </xf>
    <xf numFmtId="0" fontId="5" fillId="0" borderId="0" xfId="0" applyFont="1" applyAlignment="1">
      <alignment vertical="top" wrapText="1"/>
    </xf>
    <xf numFmtId="0" fontId="0" fillId="0" borderId="0" xfId="0" applyAlignment="1">
      <alignment vertical="top" wrapText="1"/>
    </xf>
    <xf numFmtId="0" fontId="6" fillId="0" borderId="0" xfId="0" applyFont="1"/>
    <xf numFmtId="0" fontId="7" fillId="0" borderId="0" xfId="0" applyFont="1"/>
    <xf numFmtId="0" fontId="9" fillId="0" borderId="0" xfId="0" applyFont="1" applyAlignment="1">
      <alignment vertical="top"/>
    </xf>
    <xf numFmtId="0" fontId="0" fillId="0" borderId="0" xfId="0" applyAlignment="1">
      <alignment vertical="top"/>
    </xf>
    <xf numFmtId="0" fontId="0" fillId="0" borderId="0" xfId="0" applyAlignment="1">
      <alignment horizontal="left" vertical="top" wrapText="1"/>
    </xf>
    <xf numFmtId="0" fontId="4" fillId="0" borderId="0" xfId="0" applyFont="1" applyAlignment="1">
      <alignment horizontal="left" vertical="top" wrapText="1"/>
    </xf>
    <xf numFmtId="0" fontId="0" fillId="0" borderId="0" xfId="0" applyAlignment="1" applyProtection="1">
      <alignment horizontal="left" vertical="top" wrapText="1"/>
      <protection locked="0"/>
    </xf>
    <xf numFmtId="0" fontId="0" fillId="0" borderId="0" xfId="0" applyAlignment="1">
      <alignment horizontal="centerContinuous" vertical="top"/>
    </xf>
    <xf numFmtId="0" fontId="2" fillId="0" borderId="0" xfId="0" applyFont="1" applyAlignment="1">
      <alignment horizontal="left" vertical="top"/>
    </xf>
    <xf numFmtId="0" fontId="0" fillId="0" borderId="0" xfId="0" applyAlignment="1">
      <alignment horizontal="left" vertical="top"/>
    </xf>
    <xf numFmtId="0" fontId="1" fillId="0" borderId="0" xfId="0" applyFont="1" applyAlignment="1">
      <alignment vertical="top"/>
    </xf>
    <xf numFmtId="0" fontId="4" fillId="0" borderId="0" xfId="0" applyFont="1" applyAlignment="1" applyProtection="1">
      <alignment horizontal="right" vertical="top"/>
      <protection locked="0"/>
    </xf>
    <xf numFmtId="0" fontId="4" fillId="0" borderId="0" xfId="0" applyFont="1" applyAlignment="1" applyProtection="1">
      <alignment vertical="top"/>
      <protection locked="0"/>
    </xf>
    <xf numFmtId="0" fontId="9" fillId="0" borderId="0" xfId="0" applyFont="1" applyAlignment="1" applyProtection="1">
      <alignment vertical="top"/>
      <protection locked="0"/>
    </xf>
    <xf numFmtId="0" fontId="11" fillId="0" borderId="0" xfId="0" applyFont="1" applyAlignment="1">
      <alignment vertical="top"/>
    </xf>
    <xf numFmtId="0" fontId="12" fillId="0" borderId="0" xfId="0" applyFont="1"/>
    <xf numFmtId="0" fontId="10" fillId="2" borderId="0" xfId="0" applyFont="1" applyFill="1"/>
    <xf numFmtId="0" fontId="10" fillId="2" borderId="0" xfId="0" applyFont="1" applyFill="1" applyAlignment="1">
      <alignment horizontal="left"/>
    </xf>
    <xf numFmtId="0" fontId="10" fillId="0" borderId="0" xfId="0" applyFont="1" applyAlignment="1">
      <alignment horizontal="right"/>
    </xf>
    <xf numFmtId="0" fontId="8" fillId="0" borderId="0" xfId="0" applyFont="1"/>
    <xf numFmtId="0" fontId="8" fillId="0" borderId="0" xfId="0" applyFont="1" applyAlignment="1">
      <alignment horizontal="left"/>
    </xf>
    <xf numFmtId="0" fontId="9" fillId="0" borderId="0" xfId="0" applyFont="1"/>
    <xf numFmtId="0" fontId="8" fillId="6" borderId="3" xfId="0" applyFont="1" applyFill="1" applyBorder="1" applyAlignment="1">
      <alignment vertical="top" wrapText="1"/>
    </xf>
    <xf numFmtId="0" fontId="12" fillId="0" borderId="0" xfId="0" applyFont="1" applyAlignment="1">
      <alignment vertical="top"/>
    </xf>
    <xf numFmtId="0" fontId="1" fillId="7" borderId="0" xfId="0" applyFont="1" applyFill="1" applyAlignment="1">
      <alignment vertical="center" wrapText="1"/>
    </xf>
    <xf numFmtId="0" fontId="6" fillId="0" borderId="0" xfId="0" applyFont="1" applyAlignment="1">
      <alignment vertical="top" wrapText="1"/>
    </xf>
    <xf numFmtId="0" fontId="1" fillId="7" borderId="0" xfId="0" applyFont="1" applyFill="1" applyAlignment="1" applyProtection="1">
      <alignment vertical="center" wrapText="1"/>
      <protection locked="0"/>
    </xf>
    <xf numFmtId="0" fontId="1" fillId="7" borderId="0" xfId="0" applyFont="1" applyFill="1" applyAlignment="1" applyProtection="1">
      <alignment vertical="center"/>
      <protection locked="0"/>
    </xf>
    <xf numFmtId="0" fontId="1" fillId="7" borderId="0" xfId="0" applyFont="1" applyFill="1" applyAlignment="1">
      <alignment vertical="center"/>
    </xf>
    <xf numFmtId="0" fontId="0" fillId="0" borderId="5" xfId="0" applyBorder="1" applyAlignment="1">
      <alignment vertical="top"/>
    </xf>
    <xf numFmtId="0" fontId="4" fillId="0" borderId="5" xfId="0" applyFont="1" applyBorder="1" applyAlignment="1">
      <alignment vertical="top"/>
    </xf>
    <xf numFmtId="0" fontId="10" fillId="7" borderId="0" xfId="0" applyFont="1" applyFill="1"/>
    <xf numFmtId="0" fontId="10" fillId="0" borderId="0" xfId="0" applyFont="1"/>
    <xf numFmtId="0" fontId="13" fillId="7" borderId="0" xfId="0" applyFont="1" applyFill="1"/>
    <xf numFmtId="0" fontId="0" fillId="7" borderId="0" xfId="0" applyFill="1"/>
    <xf numFmtId="0" fontId="4" fillId="7" borderId="0" xfId="0" applyFont="1" applyFill="1" applyAlignment="1">
      <alignment vertical="top"/>
    </xf>
    <xf numFmtId="0" fontId="14" fillId="0" borderId="0" xfId="0" applyFont="1" applyAlignment="1">
      <alignment horizontal="center" vertical="top" textRotation="90"/>
    </xf>
    <xf numFmtId="0" fontId="13" fillId="7" borderId="0" xfId="0" applyFont="1" applyFill="1" applyAlignment="1">
      <alignment vertical="top"/>
    </xf>
    <xf numFmtId="0" fontId="13" fillId="0" borderId="0" xfId="0" applyFont="1" applyAlignment="1">
      <alignment vertical="top"/>
    </xf>
    <xf numFmtId="0" fontId="16" fillId="0" borderId="0" xfId="0" applyFont="1" applyAlignment="1">
      <alignment horizontal="left" vertical="center"/>
    </xf>
    <xf numFmtId="0" fontId="17" fillId="9" borderId="7" xfId="0" applyFont="1" applyFill="1" applyBorder="1" applyAlignment="1">
      <alignment horizontal="left" vertical="top" indent="1"/>
    </xf>
    <xf numFmtId="0" fontId="15" fillId="9" borderId="7" xfId="0" applyFont="1" applyFill="1" applyBorder="1" applyAlignment="1">
      <alignment horizontal="left" vertical="center" wrapText="1" indent="1"/>
    </xf>
    <xf numFmtId="0" fontId="0" fillId="9" borderId="8" xfId="0" applyFill="1" applyBorder="1" applyAlignment="1">
      <alignment horizontal="center" vertical="center"/>
    </xf>
    <xf numFmtId="0" fontId="0" fillId="3" borderId="9" xfId="0" applyFill="1" applyBorder="1" applyAlignment="1">
      <alignment horizontal="center" vertical="center"/>
    </xf>
    <xf numFmtId="0" fontId="0" fillId="4" borderId="9" xfId="0" applyFill="1" applyBorder="1" applyAlignment="1">
      <alignment horizontal="center" vertical="center"/>
    </xf>
    <xf numFmtId="0" fontId="0" fillId="0" borderId="0" xfId="0" applyAlignment="1">
      <alignment horizontal="center" vertical="center"/>
    </xf>
    <xf numFmtId="0" fontId="18" fillId="3" borderId="7" xfId="0" applyFont="1" applyFill="1" applyBorder="1" applyAlignment="1">
      <alignment horizontal="left" vertical="center" wrapText="1" indent="1"/>
    </xf>
    <xf numFmtId="0" fontId="19" fillId="4" borderId="7" xfId="0" applyFont="1" applyFill="1" applyBorder="1" applyAlignment="1">
      <alignment horizontal="left" vertical="center" wrapText="1" indent="1"/>
    </xf>
    <xf numFmtId="0" fontId="0" fillId="9" borderId="10" xfId="0" applyFill="1" applyBorder="1" applyAlignment="1">
      <alignment horizontal="center" vertical="center"/>
    </xf>
    <xf numFmtId="0" fontId="0" fillId="5" borderId="9" xfId="0" applyFill="1" applyBorder="1" applyAlignment="1">
      <alignment horizontal="center" vertical="center"/>
    </xf>
    <xf numFmtId="0" fontId="18" fillId="5" borderId="7" xfId="0" applyFont="1" applyFill="1" applyBorder="1" applyAlignment="1">
      <alignment horizontal="left" vertical="center" wrapText="1" indent="1"/>
    </xf>
    <xf numFmtId="0" fontId="0" fillId="9" borderId="11" xfId="0" applyFill="1" applyBorder="1"/>
    <xf numFmtId="0" fontId="0" fillId="9" borderId="12" xfId="0" applyFill="1" applyBorder="1" applyAlignment="1">
      <alignment horizontal="center" vertical="center"/>
    </xf>
    <xf numFmtId="0" fontId="0" fillId="9" borderId="13" xfId="0" applyFill="1" applyBorder="1" applyAlignment="1">
      <alignment horizontal="center" vertical="center"/>
    </xf>
    <xf numFmtId="0" fontId="0" fillId="0" borderId="0" xfId="0" quotePrefix="1" applyAlignment="1">
      <alignment horizontal="center" vertical="top"/>
    </xf>
    <xf numFmtId="0" fontId="0" fillId="0" borderId="0" xfId="0" applyAlignment="1">
      <alignment horizontal="center" vertical="top"/>
    </xf>
    <xf numFmtId="0" fontId="20" fillId="0" borderId="0" xfId="0" applyFont="1" applyAlignment="1">
      <alignment vertical="top" wrapText="1"/>
    </xf>
    <xf numFmtId="0" fontId="1" fillId="7" borderId="0" xfId="0" applyFont="1" applyFill="1"/>
    <xf numFmtId="0" fontId="21" fillId="0" borderId="0" xfId="0" applyFont="1" applyAlignment="1">
      <alignment horizontal="left" vertical="top" readingOrder="1"/>
    </xf>
    <xf numFmtId="3" fontId="0" fillId="0" borderId="0" xfId="0" applyNumberFormat="1"/>
    <xf numFmtId="0" fontId="0" fillId="0" borderId="3" xfId="0" applyBorder="1" applyAlignment="1" applyProtection="1">
      <alignment vertical="top" wrapText="1"/>
      <protection locked="0"/>
    </xf>
    <xf numFmtId="0" fontId="0" fillId="0" borderId="0" xfId="0" applyAlignment="1" applyProtection="1">
      <alignment vertical="top"/>
      <protection locked="0"/>
    </xf>
    <xf numFmtId="0" fontId="8" fillId="0" borderId="0" xfId="0" applyFont="1"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right" vertical="top"/>
      <protection locked="0"/>
    </xf>
    <xf numFmtId="0" fontId="0" fillId="0" borderId="0" xfId="0" applyAlignment="1" applyProtection="1">
      <alignment vertical="top" wrapText="1"/>
      <protection locked="0"/>
    </xf>
    <xf numFmtId="0" fontId="4" fillId="0" borderId="5" xfId="0" applyFont="1" applyBorder="1" applyAlignment="1" applyProtection="1">
      <alignment vertical="top"/>
      <protection locked="0"/>
    </xf>
    <xf numFmtId="0" fontId="0" fillId="0" borderId="14" xfId="0" applyBorder="1"/>
    <xf numFmtId="0" fontId="0" fillId="0" borderId="4" xfId="0" applyBorder="1"/>
    <xf numFmtId="0" fontId="8" fillId="0" borderId="0" xfId="0" applyFont="1" applyAlignment="1">
      <alignment vertical="top" wrapText="1"/>
    </xf>
    <xf numFmtId="0" fontId="4" fillId="0" borderId="0" xfId="0" applyFont="1" applyAlignment="1">
      <alignment horizontal="left" vertical="top"/>
    </xf>
    <xf numFmtId="0" fontId="8" fillId="0" borderId="4" xfId="0" applyFont="1" applyBorder="1" applyAlignment="1">
      <alignment vertical="top" wrapText="1"/>
    </xf>
    <xf numFmtId="0" fontId="0" fillId="0" borderId="4" xfId="0" applyBorder="1" applyAlignment="1">
      <alignment vertical="top" wrapText="1"/>
    </xf>
    <xf numFmtId="0" fontId="1" fillId="7" borderId="0" xfId="0" applyFont="1" applyFill="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0" fillId="0" borderId="0" xfId="0" applyAlignment="1" applyProtection="1">
      <alignment horizontal="center" vertical="top"/>
      <protection locked="0"/>
    </xf>
    <xf numFmtId="0" fontId="0" fillId="0" borderId="15" xfId="0" applyBorder="1" applyAlignment="1">
      <alignment vertical="top" wrapText="1"/>
    </xf>
    <xf numFmtId="0" fontId="1" fillId="8" borderId="0" xfId="0" applyFont="1" applyFill="1" applyAlignment="1">
      <alignment horizontal="left" vertical="center"/>
    </xf>
    <xf numFmtId="0" fontId="1" fillId="8" borderId="1" xfId="0" applyFont="1" applyFill="1" applyBorder="1" applyAlignment="1">
      <alignment horizontal="left" vertical="center"/>
    </xf>
    <xf numFmtId="0" fontId="8" fillId="0" borderId="0" xfId="0" applyFont="1" applyAlignment="1">
      <alignment horizontal="center" vertical="center"/>
    </xf>
    <xf numFmtId="0" fontId="3" fillId="7" borderId="0" xfId="0" applyFont="1" applyFill="1" applyAlignment="1">
      <alignment vertical="top" wrapText="1"/>
    </xf>
    <xf numFmtId="4" fontId="0" fillId="0" borderId="0" xfId="0" applyNumberFormat="1" applyAlignment="1" applyProtection="1">
      <alignment vertical="top" wrapText="1"/>
      <protection locked="0"/>
    </xf>
    <xf numFmtId="17" fontId="0" fillId="0" borderId="0" xfId="0" applyNumberFormat="1" applyAlignment="1" applyProtection="1">
      <alignment vertical="top" wrapText="1"/>
      <protection locked="0"/>
    </xf>
    <xf numFmtId="0" fontId="0" fillId="0" borderId="0" xfId="0" pivotButton="1"/>
    <xf numFmtId="0" fontId="0" fillId="0" borderId="0" xfId="0" applyNumberFormat="1"/>
    <xf numFmtId="0" fontId="10" fillId="2" borderId="0" xfId="0" applyNumberFormat="1" applyFont="1" applyFill="1"/>
    <xf numFmtId="0" fontId="0" fillId="0" borderId="0" xfId="0" applyNumberFormat="1" applyAlignment="1">
      <alignment horizontal="right"/>
    </xf>
    <xf numFmtId="0" fontId="10" fillId="2" borderId="0" xfId="0" applyNumberFormat="1" applyFont="1" applyFill="1" applyAlignment="1">
      <alignment horizontal="right"/>
    </xf>
    <xf numFmtId="0" fontId="8" fillId="0" borderId="0" xfId="0" applyFont="1" applyFill="1" applyAlignment="1">
      <alignment vertical="top"/>
    </xf>
    <xf numFmtId="0" fontId="0" fillId="0" borderId="0" xfId="0" applyFill="1" applyAlignment="1">
      <alignment vertical="top"/>
    </xf>
    <xf numFmtId="0" fontId="0" fillId="0" borderId="0" xfId="0" applyFill="1" applyAlignment="1">
      <alignment horizontal="centerContinuous" vertical="top"/>
    </xf>
    <xf numFmtId="0" fontId="0" fillId="0" borderId="0" xfId="0" applyFill="1" applyAlignment="1">
      <alignment horizontal="left" vertical="top"/>
    </xf>
    <xf numFmtId="0" fontId="8" fillId="0" borderId="0" xfId="0" applyFont="1" applyFill="1" applyAlignment="1">
      <alignment horizontal="left" vertical="top"/>
    </xf>
    <xf numFmtId="0" fontId="0" fillId="0" borderId="0" xfId="0" applyFill="1" applyAlignment="1">
      <alignment horizontal="left" vertical="top" wrapText="1"/>
    </xf>
    <xf numFmtId="15" fontId="0" fillId="0" borderId="3" xfId="0" applyNumberFormat="1" applyBorder="1" applyAlignment="1" applyProtection="1">
      <alignment horizontal="left" vertical="top" wrapText="1"/>
      <protection locked="0"/>
    </xf>
    <xf numFmtId="164" fontId="0" fillId="0" borderId="3" xfId="0" applyNumberFormat="1" applyBorder="1" applyAlignment="1" applyProtection="1">
      <alignment horizontal="left" vertical="top" wrapText="1"/>
      <protection locked="0"/>
    </xf>
    <xf numFmtId="0" fontId="1" fillId="8" borderId="16" xfId="0" applyFont="1" applyFill="1" applyBorder="1" applyAlignment="1">
      <alignment horizontal="left" vertical="center"/>
    </xf>
    <xf numFmtId="0" fontId="0" fillId="0" borderId="0" xfId="0" applyAlignment="1">
      <alignment vertical="top"/>
    </xf>
    <xf numFmtId="0" fontId="0" fillId="0" borderId="1" xfId="0" applyBorder="1"/>
    <xf numFmtId="0" fontId="1" fillId="8" borderId="2" xfId="0" applyFont="1" applyFill="1" applyBorder="1" applyAlignment="1">
      <alignment horizontal="left" vertical="center"/>
    </xf>
    <xf numFmtId="0" fontId="1" fillId="8" borderId="1" xfId="0" applyFont="1" applyFill="1" applyBorder="1" applyAlignment="1">
      <alignment horizontal="left" vertical="center"/>
    </xf>
    <xf numFmtId="0" fontId="8" fillId="0" borderId="0" xfId="0" applyFont="1" applyAlignment="1">
      <alignment horizontal="center" vertical="center"/>
    </xf>
    <xf numFmtId="0" fontId="0" fillId="0" borderId="0" xfId="0"/>
    <xf numFmtId="0" fontId="8" fillId="0" borderId="0" xfId="0" applyFont="1" applyAlignment="1">
      <alignment horizontal="center" vertical="center" textRotation="90"/>
    </xf>
    <xf numFmtId="0" fontId="15" fillId="0" borderId="0" xfId="0" applyFont="1" applyAlignment="1">
      <alignment horizontal="center" vertical="center" textRotation="90"/>
    </xf>
    <xf numFmtId="0" fontId="16" fillId="0" borderId="6" xfId="0" applyFont="1" applyBorder="1" applyAlignment="1">
      <alignment horizontal="center" vertical="center"/>
    </xf>
    <xf numFmtId="0" fontId="0" fillId="0" borderId="6" xfId="0" applyBorder="1"/>
  </cellXfs>
  <cellStyles count="1">
    <cellStyle name="Normal" xfId="0" builtinId="0"/>
  </cellStyles>
  <dxfs count="192">
    <dxf>
      <fill>
        <patternFill>
          <bgColor theme="1" tint="0.39994506668294322"/>
        </patternFill>
      </fill>
    </dxf>
    <dxf>
      <font>
        <b/>
        <color rgb="FF444444"/>
      </font>
      <fill>
        <patternFill>
          <bgColor rgb="FF92D050"/>
        </patternFill>
      </fill>
    </dxf>
    <dxf>
      <font>
        <b/>
        <color rgb="FF444444"/>
      </font>
      <fill>
        <patternFill>
          <bgColor rgb="FFFFC000"/>
        </patternFill>
      </fill>
    </dxf>
    <dxf>
      <font>
        <b/>
        <color theme="0"/>
      </font>
      <fill>
        <patternFill>
          <bgColor rgb="FFFF0000"/>
        </patternFill>
      </fill>
    </dxf>
    <dxf>
      <numFmt numFmtId="0" formatCode="General"/>
    </dxf>
    <dxf>
      <numFmt numFmtId="0" formatCode="General"/>
    </dxf>
    <dxf>
      <fill>
        <patternFill>
          <bgColor theme="3"/>
        </patternFill>
      </fill>
    </dxf>
    <dxf>
      <fill>
        <patternFill>
          <bgColor theme="3"/>
        </patternFill>
      </fill>
    </dxf>
    <dxf>
      <fill>
        <patternFill>
          <bgColor theme="3"/>
        </patternFill>
      </fill>
    </dxf>
    <dxf>
      <fill>
        <patternFill>
          <bgColor theme="3"/>
        </patternFill>
      </fill>
    </dxf>
    <dxf>
      <font>
        <color theme="0"/>
      </font>
    </dxf>
    <dxf>
      <fill>
        <patternFill patternType="solid">
          <bgColor theme="7"/>
        </patternFill>
      </fill>
    </dxf>
    <dxf>
      <font>
        <color theme="0"/>
      </font>
    </dxf>
    <dxf>
      <font>
        <color theme="0"/>
      </font>
    </dxf>
    <dxf>
      <fill>
        <patternFill patternType="solid">
          <bgColor theme="7"/>
        </patternFill>
      </fill>
    </dxf>
    <dxf>
      <fill>
        <patternFill patternType="solid">
          <bgColor theme="7"/>
        </patternFill>
      </fill>
    </dxf>
    <dxf>
      <fill>
        <patternFill>
          <bgColor theme="3"/>
        </patternFill>
      </fill>
    </dxf>
    <dxf>
      <font>
        <color theme="0"/>
      </font>
    </dxf>
    <dxf>
      <fill>
        <patternFill patternType="solid">
          <bgColor theme="3"/>
        </patternFill>
      </fill>
    </dxf>
    <dxf>
      <alignment horizontal="right"/>
    </dxf>
    <dxf>
      <font>
        <color theme="0"/>
      </font>
    </dxf>
    <dxf>
      <font>
        <color theme="0"/>
      </font>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ont>
        <color theme="0"/>
      </font>
    </dxf>
    <dxf>
      <font>
        <color theme="0"/>
      </font>
    </dxf>
    <dxf>
      <fill>
        <patternFill patternType="solid">
          <bgColor theme="3"/>
        </patternFill>
      </fill>
    </dxf>
    <dxf>
      <fill>
        <patternFill patternType="solid">
          <bgColor theme="3"/>
        </patternFill>
      </fill>
    </dxf>
    <dxf>
      <font>
        <color theme="0"/>
      </font>
    </dxf>
    <dxf>
      <font>
        <color theme="0"/>
      </font>
    </dxf>
    <dxf>
      <fill>
        <patternFill patternType="solid">
          <bgColor theme="3"/>
        </patternFill>
      </fill>
    </dxf>
    <dxf>
      <fill>
        <patternFill patternType="solid">
          <bgColor theme="3"/>
        </patternFill>
      </fill>
    </dxf>
    <dxf>
      <alignment wrapText="1"/>
    </dxf>
    <dxf>
      <font>
        <strike val="0"/>
        <outline val="0"/>
        <shadow val="0"/>
        <vertAlign val="baseline"/>
        <sz val="11"/>
        <color theme="0"/>
        <name val="Calibri"/>
        <family val="2"/>
        <scheme val="minor"/>
      </font>
      <fill>
        <patternFill patternType="solid">
          <fgColor indexed="64"/>
          <bgColor theme="3"/>
        </patternFill>
      </fill>
    </dxf>
    <dxf>
      <font>
        <strike val="0"/>
        <condense val="0"/>
        <extend val="0"/>
        <outline val="0"/>
        <shadow val="0"/>
        <vertAlign val="baseline"/>
        <sz val="11"/>
        <color rgb="FF444444"/>
        <name val="Calibri"/>
        <family val="2"/>
        <scheme val="minor"/>
      </font>
    </dxf>
    <dxf>
      <font>
        <strike val="0"/>
        <condense val="0"/>
        <extend val="0"/>
        <outline val="0"/>
        <shadow val="0"/>
        <vertAlign val="baseline"/>
        <sz val="11"/>
        <color rgb="FF444444"/>
        <name val="Calibri"/>
        <family val="2"/>
        <scheme val="minor"/>
      </font>
    </dxf>
    <dxf>
      <font>
        <strike val="0"/>
        <condense val="0"/>
        <extend val="0"/>
        <outline val="0"/>
        <shadow val="0"/>
        <vertAlign val="baseline"/>
        <sz val="11"/>
        <color theme="0"/>
        <name val="Calibri"/>
        <family val="2"/>
        <scheme val="minor"/>
      </font>
      <fill>
        <patternFill patternType="solid">
          <fgColor indexed="64"/>
          <bgColor theme="3"/>
        </patternFill>
      </fill>
    </dxf>
    <dxf>
      <font>
        <strike val="0"/>
        <outline val="0"/>
        <shadow val="0"/>
        <vertAlign val="baseline"/>
        <sz val="11"/>
        <color theme="0"/>
        <name val="Calibri"/>
        <family val="2"/>
        <scheme val="minor"/>
      </font>
      <fill>
        <patternFill patternType="solid">
          <fgColor indexed="64"/>
          <bgColor theme="3"/>
        </patternFill>
      </fill>
    </dxf>
    <dxf>
      <alignment horizontal="left" vertical="bottom"/>
    </dxf>
    <dxf>
      <alignment horizontal="left" vertical="bottom"/>
    </dxf>
    <dxf>
      <font>
        <strike val="0"/>
        <outline val="0"/>
        <shadow val="0"/>
        <vertAlign val="baseline"/>
        <sz val="11"/>
        <color theme="0"/>
        <name val="Calibri"/>
        <family val="2"/>
        <scheme val="minor"/>
      </font>
      <fill>
        <patternFill patternType="solid">
          <fgColor indexed="64"/>
          <bgColor theme="3"/>
        </patternFill>
      </fill>
      <alignment horizontal="left" vertical="bottom"/>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3" formatCode="#,##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numFmt numFmtId="0" formatCode="General"/>
    </dxf>
    <dxf>
      <numFmt numFmtId="0" formatCode="General"/>
    </dxf>
    <dxf>
      <font>
        <b/>
        <strike val="0"/>
        <outline val="0"/>
        <shadow val="0"/>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bgColor theme="2" tint="-0.499984740745262"/>
        </patternFill>
      </fill>
    </dxf>
    <dxf>
      <fill>
        <patternFill>
          <bgColor theme="2" tint="-0.499984740745262"/>
        </patternFill>
      </fill>
    </dxf>
    <dxf>
      <fill>
        <patternFill patternType="solid">
          <bgColor rgb="FFFFFF00"/>
        </patternFill>
      </fill>
    </dxf>
    <dxf>
      <fill>
        <patternFill patternType="solid">
          <bgColor rgb="FFFFFF00"/>
        </patternFill>
      </fill>
    </dxf>
    <dxf>
      <font>
        <strike val="0"/>
        <condense val="0"/>
        <extend val="0"/>
        <outline val="0"/>
        <shadow val="0"/>
        <vertAlign val="baseline"/>
        <sz val="11"/>
        <color theme="1"/>
        <name val="Calibri"/>
        <family val="2"/>
        <scheme val="minor"/>
      </font>
      <fill>
        <patternFill>
          <fgColor indexed="64"/>
          <bgColor indexed="65"/>
        </patternFill>
      </fill>
      <alignment horizontal="left" vertical="top" wrapText="1"/>
      <protection locked="0" hidden="0"/>
    </dxf>
    <dxf>
      <font>
        <strike val="0"/>
        <condense val="0"/>
        <extend val="0"/>
        <outline val="0"/>
        <shadow val="0"/>
        <vertAlign val="baseline"/>
        <sz val="11"/>
        <color theme="1"/>
        <name val="Calibri"/>
        <family val="2"/>
        <scheme val="minor"/>
      </font>
      <numFmt numFmtId="0" formatCode="General"/>
      <fill>
        <patternFill>
          <fgColor indexed="64"/>
          <bgColor indexed="65"/>
        </patternFill>
      </fill>
      <alignment horizontal="left" vertical="top" wrapText="1"/>
      <protection locked="1" hidden="0"/>
    </dxf>
    <dxf>
      <font>
        <strike val="0"/>
        <condense val="0"/>
        <extend val="0"/>
        <outline val="0"/>
        <shadow val="0"/>
        <vertAlign val="baseline"/>
        <sz val="11"/>
        <color theme="1"/>
        <name val="Calibri"/>
        <family val="2"/>
        <scheme val="minor"/>
      </font>
      <numFmt numFmtId="0" formatCode="General"/>
      <fill>
        <patternFill>
          <fgColor indexed="64"/>
          <bgColor indexed="65"/>
        </patternFill>
      </fill>
      <alignment horizontal="left" vertical="top" wrapText="1"/>
      <protection locked="1" hidden="0"/>
    </dxf>
    <dxf>
      <font>
        <strike val="0"/>
        <condense val="0"/>
        <extend val="0"/>
        <outline val="0"/>
        <shadow val="0"/>
        <vertAlign val="baseline"/>
        <sz val="11"/>
        <color theme="1"/>
        <name val="Calibri"/>
        <family val="2"/>
        <scheme val="minor"/>
      </font>
      <fill>
        <patternFill>
          <fgColor indexed="64"/>
          <bgColor indexed="65"/>
        </patternFill>
      </fill>
      <alignment horizontal="left" vertical="top" wrapText="1"/>
      <protection locked="0" hidden="0"/>
    </dxf>
    <dxf>
      <font>
        <strike val="0"/>
        <condense val="0"/>
        <extend val="0"/>
        <outline val="0"/>
        <shadow val="0"/>
        <vertAlign val="baseline"/>
        <sz val="11"/>
        <color theme="1"/>
        <name val="Calibri"/>
        <family val="2"/>
        <scheme val="minor"/>
      </font>
      <fill>
        <patternFill>
          <fgColor indexed="64"/>
          <bgColor indexed="65"/>
        </patternFill>
      </fill>
      <alignment horizontal="left" vertical="top" wrapText="1"/>
      <protection locked="0" hidden="0"/>
    </dxf>
    <dxf>
      <font>
        <strike val="0"/>
        <condense val="0"/>
        <extend val="0"/>
        <outline val="0"/>
        <shadow val="0"/>
        <vertAlign val="baseline"/>
        <sz val="11"/>
        <color theme="1"/>
        <name val="Calibri"/>
        <family val="2"/>
        <scheme val="minor"/>
      </font>
      <fill>
        <patternFill>
          <fgColor indexed="64"/>
          <bgColor indexed="65"/>
        </patternFill>
      </fill>
      <alignment horizontal="left" vertical="top" wrapText="1"/>
      <protection locked="0" hidden="0"/>
    </dxf>
    <dxf>
      <font>
        <strike val="0"/>
        <condense val="0"/>
        <extend val="0"/>
        <outline val="0"/>
        <shadow val="0"/>
        <vertAlign val="baseline"/>
        <sz val="11"/>
        <color theme="1"/>
        <name val="Calibri"/>
        <family val="2"/>
        <scheme val="minor"/>
      </font>
      <fill>
        <patternFill>
          <fgColor indexed="64"/>
          <bgColor indexed="65"/>
        </patternFill>
      </fill>
      <alignment horizontal="left" vertical="top" wrapText="1"/>
      <protection locked="0" hidden="0"/>
    </dxf>
    <dxf>
      <font>
        <strike val="0"/>
        <condense val="0"/>
        <extend val="0"/>
        <outline val="0"/>
        <shadow val="0"/>
        <vertAlign val="baseline"/>
        <sz val="11"/>
        <color theme="1"/>
        <name val="Calibri"/>
        <family val="2"/>
        <scheme val="minor"/>
      </font>
      <fill>
        <patternFill>
          <fgColor indexed="64"/>
          <bgColor indexed="65"/>
        </patternFill>
      </fill>
      <alignment horizontal="left" vertical="top" wrapText="1"/>
      <protection locked="0" hidden="0"/>
    </dxf>
    <dxf>
      <font>
        <strike val="0"/>
        <condense val="0"/>
        <extend val="0"/>
        <outline val="0"/>
        <shadow val="0"/>
        <vertAlign val="baseline"/>
        <sz val="11"/>
        <color theme="1"/>
        <name val="Calibri"/>
        <family val="2"/>
        <scheme val="minor"/>
      </font>
      <fill>
        <patternFill>
          <fgColor indexed="64"/>
          <bgColor indexed="65"/>
        </patternFill>
      </fill>
      <alignment horizontal="left" vertical="top" wrapText="1"/>
      <protection locked="0" hidden="0"/>
    </dxf>
    <dxf>
      <font>
        <strike val="0"/>
        <condense val="0"/>
        <extend val="0"/>
        <outline val="0"/>
        <shadow val="0"/>
        <vertAlign val="baseline"/>
        <sz val="11"/>
        <color theme="1"/>
        <name val="Calibri"/>
        <family val="2"/>
        <scheme val="minor"/>
      </font>
      <fill>
        <patternFill>
          <fgColor indexed="64"/>
          <bgColor indexed="65"/>
        </patternFill>
      </fill>
      <alignment horizontal="left" vertical="top" wrapText="1"/>
      <protection locked="0" hidden="0"/>
    </dxf>
    <dxf>
      <font>
        <strike val="0"/>
        <condense val="0"/>
        <extend val="0"/>
        <outline val="0"/>
        <shadow val="0"/>
        <vertAlign val="baseline"/>
        <sz val="11"/>
        <color theme="1"/>
        <name val="Calibri"/>
        <family val="2"/>
        <scheme val="minor"/>
      </font>
      <fill>
        <patternFill>
          <fgColor indexed="64"/>
          <bgColor indexed="65"/>
        </patternFill>
      </fill>
      <alignment horizontal="left" vertical="top" wrapText="1"/>
      <protection locked="0" hidden="0"/>
    </dxf>
    <dxf>
      <font>
        <strike val="0"/>
        <condense val="0"/>
        <extend val="0"/>
        <outline val="0"/>
        <shadow val="0"/>
        <vertAlign val="baseline"/>
        <sz val="11"/>
        <color theme="1"/>
        <name val="Calibri"/>
        <family val="2"/>
        <scheme val="minor"/>
      </font>
      <numFmt numFmtId="4" formatCode="#,##0.00"/>
      <fill>
        <patternFill>
          <fgColor indexed="64"/>
          <bgColor indexed="65"/>
        </patternFill>
      </fill>
      <alignment horizontal="right" vertical="top" wrapText="1"/>
      <protection locked="0" hidden="0"/>
    </dxf>
    <dxf>
      <font>
        <strike val="0"/>
        <condense val="0"/>
        <extend val="0"/>
        <outline val="0"/>
        <shadow val="0"/>
        <vertAlign val="baseline"/>
        <sz val="11"/>
        <color theme="1"/>
        <name val="Calibri"/>
        <family val="2"/>
        <scheme val="minor"/>
      </font>
      <fill>
        <patternFill patternType="solid">
          <fgColor indexed="64"/>
          <bgColor theme="6" tint="0.39997558519241921"/>
        </patternFill>
      </fill>
      <alignment horizontal="left" vertical="top" wrapText="1"/>
      <protection locked="0" hidden="0"/>
    </dxf>
    <dxf>
      <font>
        <strike val="0"/>
        <condense val="0"/>
        <extend val="0"/>
        <outline val="0"/>
        <shadow val="0"/>
        <vertAlign val="baseline"/>
        <sz val="11"/>
        <color theme="1"/>
        <name val="Calibri"/>
        <family val="2"/>
        <scheme val="minor"/>
      </font>
      <fill>
        <patternFill>
          <fgColor indexed="64"/>
          <bgColor indexed="65"/>
        </patternFill>
      </fill>
      <alignment horizontal="left" vertical="top" wrapText="1"/>
      <protection locked="0" hidden="0"/>
    </dxf>
    <dxf>
      <font>
        <strike val="0"/>
        <condense val="0"/>
        <extend val="0"/>
        <outline val="0"/>
        <shadow val="0"/>
        <vertAlign val="baseline"/>
        <sz val="11"/>
        <color theme="1"/>
        <name val="Calibri"/>
        <family val="2"/>
        <scheme val="minor"/>
      </font>
      <fill>
        <patternFill>
          <fgColor indexed="64"/>
          <bgColor indexed="65"/>
        </patternFill>
      </fill>
      <alignment horizontal="left" vertical="top" wrapText="1"/>
      <protection locked="0" hidden="0"/>
    </dxf>
    <dxf>
      <font>
        <strike val="0"/>
        <condense val="0"/>
        <extend val="0"/>
        <outline val="0"/>
        <shadow val="0"/>
        <vertAlign val="baseline"/>
        <sz val="11"/>
        <color theme="1"/>
        <name val="Calibri"/>
        <family val="2"/>
        <scheme val="minor"/>
      </font>
      <numFmt numFmtId="0" formatCode="General"/>
      <fill>
        <patternFill>
          <fgColor indexed="64"/>
          <bgColor indexed="65"/>
        </patternFill>
      </fill>
      <alignment horizontal="left" vertical="top" wrapText="1"/>
      <protection locked="1" hidden="0"/>
    </dxf>
    <dxf>
      <numFmt numFmtId="0" formatCode="General"/>
      <fill>
        <patternFill>
          <fgColor indexed="64"/>
          <bgColor indexed="65"/>
        </patternFill>
      </fill>
      <alignment horizontal="left" vertical="top" wrapText="1"/>
      <protection locked="1" hidden="0"/>
    </dxf>
    <dxf>
      <fill>
        <patternFill>
          <fgColor indexed="64"/>
          <bgColor indexed="65"/>
        </patternFill>
      </fill>
      <alignment horizontal="left" vertical="top" wrapText="1"/>
      <protection locked="0" hidden="0"/>
    </dxf>
    <dxf>
      <fill>
        <patternFill>
          <fgColor indexed="64"/>
          <bgColor indexed="65"/>
        </patternFill>
      </fill>
      <alignment horizontal="left" vertical="top" wrapText="1"/>
      <protection locked="0" hidden="0"/>
    </dxf>
    <dxf>
      <fill>
        <patternFill>
          <fgColor indexed="64"/>
          <bgColor indexed="65"/>
        </patternFill>
      </fill>
      <alignment horizontal="left" vertical="top" wrapText="1"/>
      <protection locked="0" hidden="0"/>
    </dxf>
    <dxf>
      <fill>
        <patternFill>
          <fgColor indexed="64"/>
          <bgColor indexed="65"/>
        </patternFill>
      </fill>
      <alignment horizontal="left" vertical="top" wrapText="1"/>
      <protection locked="0" hidden="0"/>
    </dxf>
    <dxf>
      <fill>
        <patternFill>
          <fgColor indexed="64"/>
          <bgColor indexed="65"/>
        </patternFill>
      </fill>
      <alignment horizontal="left" vertical="top" wrapText="1"/>
      <protection locked="0" hidden="0"/>
    </dxf>
    <dxf>
      <fill>
        <patternFill>
          <fgColor indexed="64"/>
          <bgColor indexed="65"/>
        </patternFill>
      </fill>
      <alignment horizontal="left" vertical="top" wrapText="1"/>
      <protection locked="0" hidden="0"/>
    </dxf>
    <dxf>
      <numFmt numFmtId="0" formatCode="General"/>
      <fill>
        <patternFill>
          <fgColor indexed="64"/>
          <bgColor indexed="65"/>
        </patternFill>
      </fill>
      <alignment horizontal="left" vertical="top" wrapText="1"/>
      <protection locked="0" hidden="0"/>
    </dxf>
    <dxf>
      <font>
        <strike val="0"/>
        <condense val="0"/>
        <extend val="0"/>
        <outline val="0"/>
        <shadow val="0"/>
        <vertAlign val="baseline"/>
        <sz val="11"/>
        <color theme="1"/>
        <name val="Calibri"/>
        <family val="2"/>
        <scheme val="minor"/>
      </font>
      <fill>
        <patternFill>
          <fgColor indexed="64"/>
          <bgColor indexed="65"/>
        </patternFill>
      </fill>
      <alignment horizontal="left" vertical="top" wrapText="1"/>
      <protection locked="0" hidden="0"/>
    </dxf>
    <dxf>
      <font>
        <strike val="0"/>
        <condense val="0"/>
        <extend val="0"/>
        <outline val="0"/>
        <shadow val="0"/>
        <vertAlign val="baseline"/>
        <sz val="11"/>
        <color theme="1"/>
        <name val="Calibri"/>
        <family val="2"/>
        <scheme val="minor"/>
      </font>
      <fill>
        <patternFill>
          <fgColor indexed="64"/>
          <bgColor indexed="65"/>
        </patternFill>
      </fill>
      <alignment horizontal="left" vertical="top" wrapText="1"/>
      <protection locked="0" hidden="0"/>
    </dxf>
    <dxf>
      <font>
        <strike val="0"/>
        <condense val="0"/>
        <extend val="0"/>
        <outline val="0"/>
        <shadow val="0"/>
        <vertAlign val="baseline"/>
        <sz val="11"/>
        <color theme="1"/>
        <name val="Calibri"/>
        <family val="2"/>
        <scheme val="minor"/>
      </font>
      <fill>
        <patternFill>
          <fgColor indexed="64"/>
          <bgColor indexed="65"/>
        </patternFill>
      </fill>
      <alignment horizontal="left" vertical="top" wrapText="1"/>
      <protection locked="0" hidden="0"/>
    </dxf>
    <dxf>
      <fill>
        <patternFill>
          <fgColor indexed="64"/>
          <bgColor indexed="65"/>
        </patternFill>
      </fill>
      <alignment horizontal="left" vertical="top" wrapText="1"/>
      <protection locked="0" hidden="0"/>
    </dxf>
    <dxf>
      <font>
        <strike val="0"/>
        <condense val="0"/>
        <extend val="0"/>
        <outline val="0"/>
        <shadow val="0"/>
        <vertAlign val="baseline"/>
        <sz val="11"/>
        <color theme="1"/>
        <name val="Calibri"/>
        <family val="2"/>
        <scheme val="minor"/>
      </font>
      <fill>
        <patternFill>
          <fgColor indexed="64"/>
          <bgColor indexed="65"/>
        </patternFill>
      </fill>
      <alignment horizontal="left" vertical="top" wrapText="1"/>
      <protection locked="0" hidden="0"/>
    </dxf>
    <dxf>
      <alignment horizontal="left" vertical="top" wrapText="1"/>
      <protection locked="1" hidden="0"/>
    </dxf>
    <dxf>
      <alignment horizontal="left" vertical="top" wrapText="1"/>
      <protection locked="1" hidden="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color theme="1"/>
      </font>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color theme="0"/>
      </font>
      <fill>
        <patternFill>
          <bgColor theme="2" tint="-0.499984740745262"/>
        </patternFill>
      </fill>
    </dxf>
    <dxf>
      <font>
        <color theme="1"/>
      </font>
    </dxf>
    <dxf>
      <font>
        <color theme="1"/>
      </font>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color theme="0"/>
      </font>
      <fill>
        <patternFill>
          <bgColor theme="2" tint="-0.499984740745262"/>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color theme="0"/>
      </font>
      <fill>
        <patternFill>
          <bgColor theme="2" tint="-0.499984740745262"/>
        </patternFill>
      </fill>
      <border>
        <left/>
        <right/>
        <top/>
        <bottom/>
        <vertical/>
        <horizontal/>
      </border>
    </dxf>
    <dxf>
      <font>
        <color rgb="FF444444"/>
      </font>
      <border>
        <left style="thin">
          <color theme="2" tint="-0.499984740745262"/>
        </left>
        <right style="thin">
          <color theme="2" tint="-0.499984740745262"/>
        </right>
        <top style="thin">
          <color theme="2" tint="-0.499984740745262"/>
        </top>
        <bottom style="thin">
          <color theme="2" tint="-0.499984740745262"/>
        </bottom>
        <vertical/>
        <horizontal/>
      </border>
    </dxf>
  </dxfs>
  <tableStyles count="22" defaultTableStyle="TableStyleMedium2" defaultPivotStyle="PivotStyleLight16">
    <tableStyle name="CertiKit Slicer 2" pivot="0" table="0" count="2" xr9:uid="{00000000-0011-0000-FFFF-FFFF00000000}">
      <tableStyleElement type="wholeTable" dxfId="191"/>
      <tableStyleElement type="headerRow" dxfId="190"/>
    </tableStyle>
    <tableStyle name="CertiKit Slicer 2 10" pivot="0" table="0" count="10" xr9:uid="{DDB92E31-A085-4CEC-8690-9F878CA6086D}">
      <tableStyleElement type="wholeTable" dxfId="189"/>
      <tableStyleElement type="headerRow" dxfId="188"/>
    </tableStyle>
    <tableStyle name="CertiKit Slicer 2 11" pivot="0" table="0" count="10" xr9:uid="{584F9EC7-DF54-4B2E-842B-2D24E387AD5E}">
      <tableStyleElement type="wholeTable" dxfId="187"/>
      <tableStyleElement type="headerRow" dxfId="186"/>
    </tableStyle>
    <tableStyle name="CertiKit Slicer 2 12" pivot="0" table="0" count="10" xr9:uid="{81FCBADA-E7ED-471A-9BC5-95004AE32E20}">
      <tableStyleElement type="wholeTable" dxfId="185"/>
      <tableStyleElement type="headerRow" dxfId="184"/>
    </tableStyle>
    <tableStyle name="CertiKit Slicer 2 13" pivot="0" table="0" count="10" xr9:uid="{98F6A045-2EE9-4957-A09E-FFB7556D0A4D}">
      <tableStyleElement type="wholeTable" dxfId="183"/>
      <tableStyleElement type="headerRow" dxfId="182"/>
    </tableStyle>
    <tableStyle name="CertiKit Slicer 2 14" pivot="0" table="0" count="10" xr9:uid="{E68BD3FD-8285-4784-AF7B-6A836D2B84C7}">
      <tableStyleElement type="wholeTable" dxfId="181"/>
      <tableStyleElement type="headerRow" dxfId="180"/>
    </tableStyle>
    <tableStyle name="CertiKit Slicer 2 15" pivot="0" table="0" count="10" xr9:uid="{DA875651-BCBA-40C4-99DF-BB51F9F4E8AA}">
      <tableStyleElement type="wholeTable" dxfId="179"/>
      <tableStyleElement type="headerRow" dxfId="178"/>
    </tableStyle>
    <tableStyle name="CertiKit Slicer 2 16" pivot="0" table="0" count="10" xr9:uid="{71465489-9333-4ECF-B37E-FB48BFCAE9BB}">
      <tableStyleElement type="wholeTable" dxfId="177"/>
      <tableStyleElement type="headerRow" dxfId="176"/>
    </tableStyle>
    <tableStyle name="CertiKit Slicer 2 17" pivot="0" table="0" count="10" xr9:uid="{2D5BD9F6-45AD-4D87-B097-3C06983EE75D}">
      <tableStyleElement type="wholeTable" dxfId="175"/>
      <tableStyleElement type="headerRow" dxfId="174"/>
    </tableStyle>
    <tableStyle name="CertiKit Slicer 2 18" pivot="0" table="0" count="10" xr9:uid="{0B7966D2-8695-41F3-AB1D-51026ABF6FB8}">
      <tableStyleElement type="wholeTable" dxfId="173"/>
      <tableStyleElement type="headerRow" dxfId="172"/>
    </tableStyle>
    <tableStyle name="CertiKit Slicer 2 19" pivot="0" table="0" count="10" xr9:uid="{A653C186-FD31-4BA2-A25A-BDB399E87868}">
      <tableStyleElement type="wholeTable" dxfId="171"/>
      <tableStyleElement type="headerRow" dxfId="170"/>
    </tableStyle>
    <tableStyle name="CertiKit Slicer 2 2" pivot="0" table="0" count="10" xr9:uid="{85685AD0-20EA-4033-A7D5-68422D293903}">
      <tableStyleElement type="wholeTable" dxfId="169"/>
      <tableStyleElement type="headerRow" dxfId="168"/>
    </tableStyle>
    <tableStyle name="CertiKit Slicer 2 3" pivot="0" table="0" count="10" xr9:uid="{E86641BA-A353-4FE5-9841-BDDE936FDC8E}">
      <tableStyleElement type="wholeTable" dxfId="167"/>
      <tableStyleElement type="headerRow" dxfId="166"/>
    </tableStyle>
    <tableStyle name="CertiKit Slicer 2 4" pivot="0" table="0" count="10" xr9:uid="{DF6A31EF-3285-4AA5-A11A-97AC4839F04E}">
      <tableStyleElement type="wholeTable" dxfId="165"/>
      <tableStyleElement type="headerRow" dxfId="164"/>
    </tableStyle>
    <tableStyle name="CertiKit Slicer 2 5" pivot="0" table="0" count="10" xr9:uid="{0EABF733-0EE8-47C3-AB3A-07D2B203F28F}">
      <tableStyleElement type="wholeTable" dxfId="163"/>
      <tableStyleElement type="headerRow" dxfId="162"/>
    </tableStyle>
    <tableStyle name="CertiKit Slicer 2 6" pivot="0" table="0" count="10" xr9:uid="{E4E19D92-BC78-49CA-A600-B13DCB584436}">
      <tableStyleElement type="wholeTable" dxfId="161"/>
      <tableStyleElement type="headerRow" dxfId="160"/>
    </tableStyle>
    <tableStyle name="CertiKit Slicer 2 7" pivot="0" table="0" count="10" xr9:uid="{1DD02DD7-1FDC-4F62-9B70-6A5786D420DC}">
      <tableStyleElement type="wholeTable" dxfId="159"/>
      <tableStyleElement type="headerRow" dxfId="158"/>
    </tableStyle>
    <tableStyle name="CertiKit Slicer 2 8" pivot="0" table="0" count="10" xr9:uid="{4F949C1F-F08C-480F-834C-BD89FAF115B5}">
      <tableStyleElement type="wholeTable" dxfId="157"/>
      <tableStyleElement type="headerRow" dxfId="156"/>
    </tableStyle>
    <tableStyle name="CertiKit Slicer 2 9" pivot="0" table="0" count="10" xr9:uid="{4B617CC2-72E7-4833-932F-41C46FC89141}">
      <tableStyleElement type="wholeTable" dxfId="155"/>
      <tableStyleElement type="headerRow" dxfId="154"/>
    </tableStyle>
    <tableStyle name="CertiKit table style" pivot="0" count="4" xr9:uid="{00000000-0011-0000-FFFF-FFFF01000000}">
      <tableStyleElement type="wholeTable" dxfId="153"/>
      <tableStyleElement type="headerRow" dxfId="152"/>
      <tableStyleElement type="firstRowStripe" dxfId="151"/>
      <tableStyleElement type="secondRowStripe" dxfId="150"/>
    </tableStyle>
    <tableStyle name="CertiKit table style 2" pivot="0" count="4" xr9:uid="{00000000-0011-0000-FFFF-FFFF02000000}">
      <tableStyleElement type="wholeTable" dxfId="149"/>
      <tableStyleElement type="headerRow" dxfId="148"/>
      <tableStyleElement type="firstRowStripe" dxfId="147"/>
      <tableStyleElement type="secondRowStripe" dxfId="146"/>
    </tableStyle>
    <tableStyle name="CertiKit table style 2 2" pivot="0" count="4" xr9:uid="{B2D315C4-6906-402B-8AD4-8888731DA442}">
      <tableStyleElement type="wholeTable" dxfId="145"/>
      <tableStyleElement type="headerRow" dxfId="144"/>
      <tableStyleElement type="firstRowStripe" dxfId="143"/>
      <tableStyleElement type="secondRowStripe" dxfId="142"/>
    </tableStyle>
  </tableStyles>
  <extLst>
    <ext xmlns:x14="http://schemas.microsoft.com/office/spreadsheetml/2009/9/main" uri="{46F421CA-312F-682f-3DD2-61675219B42D}">
      <x14:dxfs count="144">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2 10">
          <x14:slicerStyleElements>
            <x14:slicerStyleElement type="unselectedItemWithData" dxfId="143"/>
            <x14:slicerStyleElement type="unselectedItemWithNoData" dxfId="142"/>
            <x14:slicerStyleElement type="selectedItemWithData" dxfId="141"/>
            <x14:slicerStyleElement type="selectedItemWithNoData" dxfId="140"/>
            <x14:slicerStyleElement type="hoveredUnselectedItemWithData" dxfId="139"/>
            <x14:slicerStyleElement type="hoveredSelectedItemWithData" dxfId="138"/>
            <x14:slicerStyleElement type="hoveredUnselectedItemWithNoData" dxfId="137"/>
            <x14:slicerStyleElement type="hoveredSelectedItemWithNoData" dxfId="136"/>
          </x14:slicerStyleElements>
        </x14:slicerStyle>
        <x14:slicerStyle name="CertiKit Slicer 2 11">
          <x14:slicerStyleElements>
            <x14:slicerStyleElement type="unselectedItemWithData" dxfId="135"/>
            <x14:slicerStyleElement type="unselectedItemWithNoData" dxfId="134"/>
            <x14:slicerStyleElement type="selectedItemWithData" dxfId="133"/>
            <x14:slicerStyleElement type="selectedItemWithNoData" dxfId="132"/>
            <x14:slicerStyleElement type="hoveredUnselectedItemWithData" dxfId="131"/>
            <x14:slicerStyleElement type="hoveredSelectedItemWithData" dxfId="130"/>
            <x14:slicerStyleElement type="hoveredUnselectedItemWithNoData" dxfId="129"/>
            <x14:slicerStyleElement type="hoveredSelectedItemWithNoData" dxfId="128"/>
          </x14:slicerStyleElements>
        </x14:slicerStyle>
        <x14:slicerStyle name="CertiKit Slicer 2 12">
          <x14:slicerStyleElements>
            <x14:slicerStyleElement type="unselectedItemWithData" dxfId="127"/>
            <x14:slicerStyleElement type="unselectedItemWithNoData" dxfId="126"/>
            <x14:slicerStyleElement type="selectedItemWithData" dxfId="125"/>
            <x14:slicerStyleElement type="selectedItemWithNoData" dxfId="124"/>
            <x14:slicerStyleElement type="hoveredUnselectedItemWithData" dxfId="123"/>
            <x14:slicerStyleElement type="hoveredSelectedItemWithData" dxfId="122"/>
            <x14:slicerStyleElement type="hoveredUnselectedItemWithNoData" dxfId="121"/>
            <x14:slicerStyleElement type="hoveredSelectedItemWithNoData" dxfId="120"/>
          </x14:slicerStyleElements>
        </x14:slicerStyle>
        <x14:slicerStyle name="CertiKit Slicer 2 13">
          <x14:slicerStyleElements>
            <x14:slicerStyleElement type="unselectedItemWithData" dxfId="119"/>
            <x14:slicerStyleElement type="unselectedItemWithNoData" dxfId="118"/>
            <x14:slicerStyleElement type="selectedItemWithData" dxfId="117"/>
            <x14:slicerStyleElement type="selectedItemWithNoData" dxfId="116"/>
            <x14:slicerStyleElement type="hoveredUnselectedItemWithData" dxfId="115"/>
            <x14:slicerStyleElement type="hoveredSelectedItemWithData" dxfId="114"/>
            <x14:slicerStyleElement type="hoveredUnselectedItemWithNoData" dxfId="113"/>
            <x14:slicerStyleElement type="hoveredSelectedItemWithNoData" dxfId="112"/>
          </x14:slicerStyleElements>
        </x14:slicerStyle>
        <x14:slicerStyle name="CertiKit Slicer 2 14">
          <x14:slicerStyleElements>
            <x14:slicerStyleElement type="unselectedItemWithData" dxfId="111"/>
            <x14:slicerStyleElement type="unselectedItemWithNoData" dxfId="110"/>
            <x14:slicerStyleElement type="selectedItemWithData" dxfId="109"/>
            <x14:slicerStyleElement type="selectedItemWithNoData" dxfId="108"/>
            <x14:slicerStyleElement type="hoveredUnselectedItemWithData" dxfId="107"/>
            <x14:slicerStyleElement type="hoveredSelectedItemWithData" dxfId="106"/>
            <x14:slicerStyleElement type="hoveredUnselectedItemWithNoData" dxfId="105"/>
            <x14:slicerStyleElement type="hoveredSelectedItemWithNoData" dxfId="104"/>
          </x14:slicerStyleElements>
        </x14:slicerStyle>
        <x14:slicerStyle name="CertiKit Slicer 2 15">
          <x14:slicerStyleElements>
            <x14:slicerStyleElement type="unselectedItemWithData" dxfId="103"/>
            <x14:slicerStyleElement type="unselectedItemWithNoData" dxfId="102"/>
            <x14:slicerStyleElement type="selectedItemWithData" dxfId="101"/>
            <x14:slicerStyleElement type="selectedItemWithNoData" dxfId="100"/>
            <x14:slicerStyleElement type="hoveredUnselectedItemWithData" dxfId="99"/>
            <x14:slicerStyleElement type="hoveredSelectedItemWithData" dxfId="98"/>
            <x14:slicerStyleElement type="hoveredUnselectedItemWithNoData" dxfId="97"/>
            <x14:slicerStyleElement type="hoveredSelectedItemWithNoData" dxfId="96"/>
          </x14:slicerStyleElements>
        </x14:slicerStyle>
        <x14:slicerStyle name="CertiKit Slicer 2 16">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CertiKit Slicer 2 17">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CertiKit Slicer 2 18">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CertiKit Slicer 2 19">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CertiKit Slicer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CertiKit Slicer 2 3">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CertiKit Slicer 2 4">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CertiKit Slicer 2 5">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CertiKit Slicer 2 6">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CertiKit Slicer 2 7">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CertiKit Slicer 2 8">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ertiKit Slicer 2 9">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calcChain" Target="calcChain.xml" /><Relationship Id="rId3" Type="http://schemas.openxmlformats.org/officeDocument/2006/relationships/worksheet" Target="worksheets/sheet3.xml" /><Relationship Id="rId21" Type="http://schemas.openxmlformats.org/officeDocument/2006/relationships/pivotCacheDefinition" Target="pivotCache/pivotCacheDefinition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sharedStrings" Target="sharedStrings.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pivotCacheDefinition" Target="pivotCache/pivotCacheDefinition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styles" Target="styles.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theme" Target="theme/theme1.xml" /><Relationship Id="rId10" Type="http://schemas.openxmlformats.org/officeDocument/2006/relationships/worksheet" Target="worksheets/sheet10.xml" /><Relationship Id="rId19" Type="http://schemas.openxmlformats.org/officeDocument/2006/relationships/pivotCacheDefinition" Target="pivotCache/pivotCacheDefinition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pivotCacheDefinition" Target="pivotCache/pivotCacheDefinition4.xml" /></Relationships>
</file>

<file path=xl/charts/_rels/chart3.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4.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5.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6.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7.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[3-AssetBasedRisk.xlsx]Post-treatment risks!PostTreatmentRisks</c:name>
    <c:fmtId val="3"/>
  </c:pivotSource>
  <c:chart>
    <c:title>
      <c:tx>
        <c:rich>
          <a:bodyPr rot="0" spcFirstLastPara="1" vertOverflow="ellipsis" vert="horz" wrap="square" anchor="ctr" anchorCtr="1"/>
          <a:lstStyle/>
          <a:p>
            <a:pPr marL="0" marR="0" lvl="0" indent="0" algn="ctr" defTabSz="914400" rtl="0" eaLnBrk="1" fontAlgn="auto" latinLnBrk="0" hangingPunct="1">
              <a:defRPr sz="1400" b="0" i="0" strike="noStrike" kern="1200" spc="0" baseline="0">
                <a:solidFill>
                  <a:srgbClr val="444444"/>
                </a:solidFill>
                <a:latin typeface="+mn-lt"/>
                <a:ea typeface="+mn-ea"/>
                <a:cs typeface="+mn-cs"/>
              </a:defRPr>
            </a:pPr>
            <a:r>
              <a:rPr lang="en-GB" sz="1400" b="0" i="0" baseline="0">
                <a:solidFill>
                  <a:schemeClr val="tx1"/>
                </a:solidFill>
              </a:rPr>
              <a:t>Number of post-treatment risks</a:t>
            </a:r>
            <a:endParaRPr lang="en-GB" sz="1400">
              <a:solidFill>
                <a:schemeClr val="tx1"/>
              </a:solidFill>
            </a:endParaRPr>
          </a:p>
        </c:rich>
      </c:tx>
      <c:overlay val="0"/>
      <c:spPr>
        <a:noFill/>
        <a:ln>
          <a:noFill/>
          <a:prstDash val="solid"/>
        </a:ln>
      </c:spPr>
    </c:title>
    <c:autoTitleDeleted val="0"/>
    <c:pivotFmts>
      <c:pivotFmt>
        <c:idx val="0"/>
        <c:spPr>
          <a:solidFill>
            <a:schemeClr val="accent1"/>
          </a:solidFill>
          <a:ln w="25400">
            <a:solidFill>
              <a:schemeClr val="lt1"/>
            </a:solidFill>
            <a:prstDash val="solid"/>
          </a:ln>
          <a:sp3d contourW="25400"/>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prstDash val="solid"/>
          </a:ln>
          <a:sp3d contourW="25400"/>
        </c:spPr>
      </c:pivotFmt>
      <c:pivotFmt>
        <c:idx val="2"/>
        <c:spPr>
          <a:solidFill>
            <a:srgbClr val="FFC000"/>
          </a:solidFill>
          <a:ln w="25400">
            <a:solidFill>
              <a:schemeClr val="lt1"/>
            </a:solidFill>
            <a:prstDash val="solid"/>
          </a:ln>
          <a:sp3d contourW="25400"/>
        </c:spPr>
      </c:pivotFmt>
      <c:pivotFmt>
        <c:idx val="3"/>
        <c:spPr>
          <a:solidFill>
            <a:srgbClr val="FF0000"/>
          </a:solidFill>
          <a:ln w="25400">
            <a:solidFill>
              <a:schemeClr val="lt1"/>
            </a:solidFill>
            <a:prstDash val="solid"/>
          </a:ln>
          <a:sp3d contourW="25400"/>
        </c:spPr>
      </c:pivotFmt>
      <c:pivotFmt>
        <c:idx val="4"/>
        <c:spPr>
          <a:solidFill>
            <a:schemeClr val="accent1"/>
          </a:solidFill>
          <a:ln w="25400">
            <a:solidFill>
              <a:schemeClr val="lt1"/>
            </a:solidFill>
            <a:prstDash val="solid"/>
          </a:ln>
          <a:sp3d contourW="25400"/>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prstDash val="solid"/>
          </a:ln>
          <a:sp3d contourW="25400"/>
        </c:spPr>
      </c:pivotFmt>
      <c:pivotFmt>
        <c:idx val="6"/>
        <c:spPr>
          <a:solidFill>
            <a:srgbClr val="FFC000"/>
          </a:solidFill>
          <a:ln w="25400">
            <a:solidFill>
              <a:schemeClr val="lt1"/>
            </a:solidFill>
            <a:prstDash val="solid"/>
          </a:ln>
          <a:sp3d contourW="25400"/>
        </c:spPr>
      </c:pivotFmt>
      <c:pivotFmt>
        <c:idx val="7"/>
        <c:spPr>
          <a:solidFill>
            <a:srgbClr val="FF0000"/>
          </a:solidFill>
          <a:ln w="25400">
            <a:solidFill>
              <a:schemeClr val="lt1"/>
            </a:solidFill>
            <a:prstDash val="solid"/>
          </a:ln>
          <a:sp3d contourW="25400"/>
        </c:spPr>
      </c:pivotFmt>
      <c:pivotFmt>
        <c:idx val="8"/>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prstDash val="solid"/>
          </a:ln>
          <a:sp3d contourW="25400"/>
        </c:spPr>
      </c:pivotFmt>
      <c:pivotFmt>
        <c:idx val="10"/>
        <c:spPr>
          <a:solidFill>
            <a:srgbClr val="FFC000"/>
          </a:solidFill>
          <a:ln w="25400">
            <a:solidFill>
              <a:schemeClr val="lt1"/>
            </a:solidFill>
            <a:prstDash val="solid"/>
          </a:ln>
          <a:sp3d contourW="25400"/>
        </c:spPr>
      </c:pivotFmt>
      <c:pivotFmt>
        <c:idx val="11"/>
        <c:spPr>
          <a:solidFill>
            <a:srgbClr val="FF0000"/>
          </a:solidFill>
          <a:ln w="25400">
            <a:solidFill>
              <a:schemeClr val="lt1"/>
            </a:solidFill>
            <a:prstDash val="solid"/>
          </a:ln>
          <a:sp3d contourW="25400"/>
        </c:spPr>
      </c:pivotFmt>
    </c:pivotFmts>
    <c:view3D>
      <c:rotX val="15"/>
      <c:rotY val="0"/>
      <c:rAngAx val="0"/>
    </c:view3D>
    <c:floor>
      <c:thickness val="0"/>
    </c:floor>
    <c:sideWall>
      <c:thickness val="0"/>
    </c:sideWall>
    <c:backWall>
      <c:thickness val="0"/>
    </c:backWall>
    <c:plotArea>
      <c:layout/>
      <c:pie3DChart>
        <c:varyColors val="1"/>
        <c:ser>
          <c:idx val="0"/>
          <c:order val="0"/>
          <c:tx>
            <c:strRef>
              <c:f>'Post-treatment risks'!$C$12</c:f>
              <c:strCache>
                <c:ptCount val="1"/>
                <c:pt idx="0">
                  <c:v>Total</c:v>
                </c:pt>
              </c:strCache>
            </c:strRef>
          </c:tx>
          <c:spPr>
            <a:ln>
              <a:prstDash val="solid"/>
            </a:ln>
          </c:spPr>
          <c:dPt>
            <c:idx val="0"/>
            <c:bubble3D val="0"/>
            <c:spPr>
              <a:solidFill>
                <a:srgbClr val="92D050"/>
              </a:solidFill>
              <a:ln w="25400">
                <a:solidFill>
                  <a:schemeClr val="lt1"/>
                </a:solidFill>
                <a:prstDash val="solid"/>
              </a:ln>
              <a:sp3d contourW="25400"/>
            </c:spPr>
            <c:extLst>
              <c:ext xmlns:c16="http://schemas.microsoft.com/office/drawing/2014/chart" uri="{C3380CC4-5D6E-409C-BE32-E72D297353CC}">
                <c16:uniqueId val="{00000001-7781-4291-9728-D6625851736D}"/>
              </c:ext>
            </c:extLst>
          </c:dPt>
          <c:dPt>
            <c:idx val="1"/>
            <c:bubble3D val="0"/>
            <c:spPr>
              <a:solidFill>
                <a:srgbClr val="FFC000"/>
              </a:solidFill>
              <a:ln w="25400">
                <a:solidFill>
                  <a:schemeClr val="lt1"/>
                </a:solidFill>
                <a:prstDash val="solid"/>
              </a:ln>
              <a:sp3d contourW="25400"/>
            </c:spPr>
            <c:extLst>
              <c:ext xmlns:c16="http://schemas.microsoft.com/office/drawing/2014/chart" uri="{C3380CC4-5D6E-409C-BE32-E72D297353CC}">
                <c16:uniqueId val="{00000003-7781-4291-9728-D6625851736D}"/>
              </c:ext>
            </c:extLst>
          </c:dPt>
          <c:dPt>
            <c:idx val="2"/>
            <c:bubble3D val="0"/>
            <c:spPr>
              <a:solidFill>
                <a:srgbClr val="FF0000"/>
              </a:solidFill>
              <a:ln w="25400">
                <a:solidFill>
                  <a:schemeClr val="lt1"/>
                </a:solidFill>
                <a:prstDash val="solid"/>
              </a:ln>
              <a:sp3d contourW="25400"/>
            </c:spPr>
            <c:extLst>
              <c:ext xmlns:c16="http://schemas.microsoft.com/office/drawing/2014/chart" uri="{C3380CC4-5D6E-409C-BE32-E72D297353CC}">
                <c16:uniqueId val="{00000005-7781-4291-9728-D6625851736D}"/>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'Post-treatment risks'!$B$13:$B$15</c:f>
              <c:strCache>
                <c:ptCount val="3"/>
                <c:pt idx="0">
                  <c:v> Low</c:v>
                </c:pt>
                <c:pt idx="1">
                  <c:v> Medium</c:v>
                </c:pt>
                <c:pt idx="2">
                  <c:v> High</c:v>
                </c:pt>
              </c:strCache>
            </c:strRef>
          </c:cat>
          <c:val>
            <c:numRef>
              <c:f>'Post-treatment risks'!$C$13:$C$15</c:f>
              <c:numCache>
                <c:formatCode>General</c:formatCode>
                <c:ptCount val="3"/>
                <c:pt idx="0">
                  <c:v>3</c:v>
                </c:pt>
                <c:pt idx="1">
                  <c:v>7</c:v>
                </c:pt>
                <c:pt idx="2">
                  <c:v>0</c:v>
                </c:pt>
              </c:numCache>
            </c:numRef>
          </c:val>
          <c:extLst>
            <c:ext xmlns:c16="http://schemas.microsoft.com/office/drawing/2014/chart" uri="{C3380CC4-5D6E-409C-BE32-E72D297353CC}">
              <c16:uniqueId val="{00000006-7781-4291-9728-D6625851736D}"/>
            </c:ext>
          </c:extLst>
        </c:ser>
        <c:dLbls>
          <c:dLblPos val="outEnd"/>
          <c:showLegendKey val="0"/>
          <c:showVal val="1"/>
          <c:showCatName val="0"/>
          <c:showSerName val="0"/>
          <c:showPercent val="0"/>
          <c:showBubbleSize val="0"/>
          <c:showLeaderLines val="1"/>
        </c:dLbls>
      </c:pie3D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solidFill>
              <a:latin typeface="+mn-lt"/>
              <a:ea typeface="+mn-ea"/>
              <a:cs typeface="+mn-cs"/>
            </a:defRPr>
          </a:pPr>
          <a:endParaRPr lang="en-US"/>
        </a:p>
      </c:txPr>
    </c:legend>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[3-AssetBasedRisk.xlsx]Risks by risk level pre &amp; post!RisksByRiskLevelPre&amp;PostTreatment</c:name>
    <c:fmtId val="2"/>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GB" sz="1400" b="0" i="0" baseline="0">
                <a:solidFill>
                  <a:schemeClr val="tx1"/>
                </a:solidFill>
              </a:rPr>
              <a:t>Number of risks by risk level pre and post treatment</a:t>
            </a:r>
            <a:endParaRPr lang="en-GB" sz="1400">
              <a:solidFill>
                <a:schemeClr val="tx1"/>
              </a:solidFill>
            </a:endParaRPr>
          </a:p>
        </c:rich>
      </c:tx>
      <c:overlay val="0"/>
      <c:spPr>
        <a:noFill/>
        <a:ln>
          <a:noFill/>
          <a:prstDash val="solid"/>
        </a:ln>
      </c:spPr>
    </c:title>
    <c:autoTitleDeleted val="0"/>
    <c:pivotFmts>
      <c:pivotFmt>
        <c:idx val="0"/>
        <c:spPr>
          <a:solidFill>
            <a:schemeClr val="bg2">
              <a:lumMod val="50000"/>
            </a:schemeClr>
          </a:solidFill>
          <a:ln>
            <a:noFill/>
            <a:prstDash val="solid"/>
          </a:ln>
          <a:sp3d/>
        </c:spPr>
        <c:marker>
          <c:symbol val="none"/>
        </c:marker>
        <c:dLbl>
          <c:idx val="0"/>
          <c:delete val="1"/>
          <c:extLst>
            <c:ext xmlns:c15="http://schemas.microsoft.com/office/drawing/2012/chart" uri="{CE6537A1-D6FC-4f65-9D91-7224C49458BB}"/>
          </c:extLst>
        </c:dLbl>
      </c:pivotFmt>
      <c:pivotFmt>
        <c:idx val="1"/>
        <c:spPr>
          <a:solidFill>
            <a:schemeClr val="bg2">
              <a:lumMod val="90000"/>
            </a:schemeClr>
          </a:solidFill>
          <a:ln>
            <a:noFill/>
            <a:prstDash val="solid"/>
          </a:ln>
          <a:sp3d/>
        </c:spPr>
        <c:marker>
          <c:symbol val="none"/>
        </c:marker>
        <c:dLbl>
          <c:idx val="0"/>
          <c:delete val="1"/>
          <c:extLst>
            <c:ext xmlns:c15="http://schemas.microsoft.com/office/drawing/2012/chart" uri="{CE6537A1-D6FC-4f65-9D91-7224C49458BB}"/>
          </c:extLst>
        </c:dLbl>
      </c:pivotFmt>
      <c:pivotFmt>
        <c:idx val="2"/>
        <c:spPr>
          <a:solidFill>
            <a:schemeClr val="bg2">
              <a:lumMod val="50000"/>
            </a:schemeClr>
          </a:solidFill>
          <a:ln>
            <a:noFill/>
            <a:prstDash val="solid"/>
          </a:ln>
          <a:sp3d/>
        </c:spPr>
      </c:pivotFmt>
      <c:pivotFmt>
        <c:idx val="3"/>
        <c:spPr>
          <a:solidFill>
            <a:schemeClr val="bg2">
              <a:lumMod val="50000"/>
            </a:schemeClr>
          </a:solidFill>
          <a:ln>
            <a:noFill/>
            <a:prstDash val="solid"/>
          </a:ln>
          <a:sp3d/>
        </c:spPr>
        <c:marker>
          <c:symbol val="none"/>
        </c:marker>
        <c:dLbl>
          <c:idx val="0"/>
          <c:delete val="1"/>
          <c:extLst>
            <c:ext xmlns:c15="http://schemas.microsoft.com/office/drawing/2012/chart" uri="{CE6537A1-D6FC-4f65-9D91-7224C49458BB}"/>
          </c:extLst>
        </c:dLbl>
      </c:pivotFmt>
      <c:pivotFmt>
        <c:idx val="4"/>
        <c:spPr>
          <a:solidFill>
            <a:schemeClr val="bg2">
              <a:lumMod val="90000"/>
            </a:schemeClr>
          </a:solidFill>
          <a:ln>
            <a:noFill/>
            <a:prstDash val="solid"/>
          </a:ln>
          <a:sp3d/>
        </c:spPr>
        <c:marker>
          <c:symbol val="none"/>
        </c:marker>
        <c:dLbl>
          <c:idx val="0"/>
          <c:delete val="1"/>
          <c:extLst>
            <c:ext xmlns:c15="http://schemas.microsoft.com/office/drawing/2012/chart" uri="{CE6537A1-D6FC-4f65-9D91-7224C49458BB}"/>
          </c:extLst>
        </c:dLbl>
      </c:pivotFmt>
      <c:pivotFmt>
        <c:idx val="5"/>
        <c:spPr>
          <a:solidFill>
            <a:schemeClr val="bg2">
              <a:lumMod val="50000"/>
            </a:schemeClr>
          </a:solidFill>
          <a:ln>
            <a:noFill/>
            <a:prstDash val="solid"/>
          </a:ln>
          <a:sp3d/>
        </c:spPr>
        <c:marker>
          <c:symbol val="none"/>
        </c:marker>
        <c:dLbl>
          <c:idx val="0"/>
          <c:delete val="1"/>
          <c:extLst>
            <c:ext xmlns:c15="http://schemas.microsoft.com/office/drawing/2012/chart" uri="{CE6537A1-D6FC-4f65-9D91-7224C49458BB}"/>
          </c:extLst>
        </c:dLbl>
      </c:pivotFmt>
      <c:pivotFmt>
        <c:idx val="6"/>
        <c:spPr>
          <a:solidFill>
            <a:schemeClr val="bg2">
              <a:lumMod val="90000"/>
            </a:schemeClr>
          </a:solidFill>
          <a:ln>
            <a:noFill/>
            <a:prstDash val="solid"/>
          </a:ln>
          <a:sp3d/>
        </c:spPr>
        <c:marker>
          <c:symbol val="none"/>
        </c:marker>
        <c:dLbl>
          <c:idx val="0"/>
          <c:delete val="1"/>
          <c:extLst>
            <c:ext xmlns:c15="http://schemas.microsoft.com/office/drawing/2012/chart" uri="{CE6537A1-D6FC-4f65-9D91-7224C49458BB}"/>
          </c:extLst>
        </c:dLbl>
      </c:pivotFmt>
    </c:pivotFmts>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bar3DChart>
        <c:barDir val="col"/>
        <c:grouping val="clustered"/>
        <c:varyColors val="0"/>
        <c:ser>
          <c:idx val="0"/>
          <c:order val="0"/>
          <c:tx>
            <c:strRef>
              <c:f>'Risks by risk level pre &amp; post'!$C$12:$C$13</c:f>
              <c:strCache>
                <c:ptCount val="1"/>
                <c:pt idx="0">
                  <c:v>Pre-treatment </c:v>
                </c:pt>
              </c:strCache>
            </c:strRef>
          </c:tx>
          <c:spPr>
            <a:solidFill>
              <a:schemeClr val="bg2">
                <a:lumMod val="50000"/>
              </a:schemeClr>
            </a:solidFill>
            <a:ln>
              <a:noFill/>
              <a:prstDash val="solid"/>
            </a:ln>
            <a:sp3d/>
          </c:spPr>
          <c:invertIfNegative val="0"/>
          <c:cat>
            <c:strRef>
              <c:f>'Risks by risk level pre &amp; post'!$B$14:$B$16</c:f>
              <c:strCache>
                <c:ptCount val="3"/>
                <c:pt idx="0">
                  <c:v> Low</c:v>
                </c:pt>
                <c:pt idx="1">
                  <c:v> Medium</c:v>
                </c:pt>
                <c:pt idx="2">
                  <c:v> High</c:v>
                </c:pt>
              </c:strCache>
            </c:strRef>
          </c:cat>
          <c:val>
            <c:numRef>
              <c:f>'Risks by risk level pre &amp; post'!$C$14:$C$16</c:f>
              <c:numCache>
                <c:formatCode>General</c:formatCode>
                <c:ptCount val="3"/>
                <c:pt idx="0">
                  <c:v>0</c:v>
                </c:pt>
                <c:pt idx="1">
                  <c:v>3</c:v>
                </c:pt>
                <c:pt idx="2">
                  <c:v>7</c:v>
                </c:pt>
              </c:numCache>
            </c:numRef>
          </c:val>
          <c:extLst>
            <c:ext xmlns:c16="http://schemas.microsoft.com/office/drawing/2014/chart" uri="{C3380CC4-5D6E-409C-BE32-E72D297353CC}">
              <c16:uniqueId val="{00000000-822E-4E04-8130-FEEEA91A5C04}"/>
            </c:ext>
          </c:extLst>
        </c:ser>
        <c:ser>
          <c:idx val="1"/>
          <c:order val="1"/>
          <c:tx>
            <c:strRef>
              <c:f>'Risks by risk level pre &amp; post'!$D$12:$D$13</c:f>
              <c:strCache>
                <c:ptCount val="1"/>
                <c:pt idx="0">
                  <c:v>Post-treatment </c:v>
                </c:pt>
              </c:strCache>
            </c:strRef>
          </c:tx>
          <c:spPr>
            <a:solidFill>
              <a:schemeClr val="bg2">
                <a:lumMod val="90000"/>
              </a:schemeClr>
            </a:solidFill>
            <a:ln>
              <a:noFill/>
              <a:prstDash val="solid"/>
            </a:ln>
            <a:sp3d/>
          </c:spPr>
          <c:invertIfNegative val="0"/>
          <c:cat>
            <c:strRef>
              <c:f>'Risks by risk level pre &amp; post'!$B$14:$B$16</c:f>
              <c:strCache>
                <c:ptCount val="3"/>
                <c:pt idx="0">
                  <c:v> Low</c:v>
                </c:pt>
                <c:pt idx="1">
                  <c:v> Medium</c:v>
                </c:pt>
                <c:pt idx="2">
                  <c:v> High</c:v>
                </c:pt>
              </c:strCache>
            </c:strRef>
          </c:cat>
          <c:val>
            <c:numRef>
              <c:f>'Risks by risk level pre &amp; post'!$D$14:$D$16</c:f>
              <c:numCache>
                <c:formatCode>General</c:formatCode>
                <c:ptCount val="3"/>
                <c:pt idx="0">
                  <c:v>3</c:v>
                </c:pt>
                <c:pt idx="1">
                  <c:v>7</c:v>
                </c:pt>
                <c:pt idx="2">
                  <c:v>0</c:v>
                </c:pt>
              </c:numCache>
            </c:numRef>
          </c:val>
          <c:extLst>
            <c:ext xmlns:c16="http://schemas.microsoft.com/office/drawing/2014/chart" uri="{C3380CC4-5D6E-409C-BE32-E72D297353CC}">
              <c16:uniqueId val="{00000001-822E-4E04-8130-FEEEA91A5C04}"/>
            </c:ext>
          </c:extLst>
        </c:ser>
        <c:dLbls>
          <c:showLegendKey val="0"/>
          <c:showVal val="0"/>
          <c:showCatName val="0"/>
          <c:showSerName val="0"/>
          <c:showPercent val="0"/>
          <c:showBubbleSize val="0"/>
        </c:dLbls>
        <c:gapWidth val="150"/>
        <c:shape val="box"/>
        <c:axId val="557795048"/>
        <c:axId val="557795376"/>
        <c:axId val="0"/>
      </c:bar3DChart>
      <c:catAx>
        <c:axId val="557795048"/>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57795376"/>
        <c:crosses val="autoZero"/>
        <c:auto val="1"/>
        <c:lblAlgn val="ctr"/>
        <c:lblOffset val="100"/>
        <c:noMultiLvlLbl val="0"/>
      </c:catAx>
      <c:valAx>
        <c:axId val="557795376"/>
        <c:scaling>
          <c:orientation val="minMax"/>
        </c:scaling>
        <c:delete val="0"/>
        <c:axPos val="l"/>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57795048"/>
        <c:crosses val="autoZero"/>
        <c:crossBetween val="between"/>
        <c:majorUnit val="2"/>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Number of pre-treatment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GB"/>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w="25400">
            <a:solidFill>
              <a:schemeClr val="lt1"/>
            </a:solidFill>
          </a:ln>
          <a:effectLst/>
          <a:sp3d contourW="25400">
            <a:contourClr>
              <a:schemeClr val="lt1"/>
            </a:contourClr>
          </a:sp3d>
        </c:spPr>
      </c:pivotFmt>
      <c:pivotFmt>
        <c:idx val="14"/>
        <c:spPr>
          <a:solidFill>
            <a:srgbClr val="FFC000"/>
          </a:solidFill>
          <a:ln w="25400">
            <a:solidFill>
              <a:schemeClr val="lt1"/>
            </a:solidFill>
          </a:ln>
          <a:effectLst/>
          <a:sp3d contourW="25400">
            <a:contourClr>
              <a:schemeClr val="lt1"/>
            </a:contourClr>
          </a:sp3d>
        </c:spPr>
      </c:pivotFmt>
      <c:pivotFmt>
        <c:idx val="15"/>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الإجمالي</c:v>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AD82-4E1C-895B-65B76C901D5E}"/>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AD82-4E1C-895B-65B76C901D5E}"/>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AD82-4E1C-895B-65B76C901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 Low</c:v>
              </c:pt>
              <c:pt idx="1">
                <c:v> Medium</c:v>
              </c:pt>
              <c:pt idx="2">
                <c:v> High</c:v>
              </c:pt>
            </c:strLit>
          </c:cat>
          <c:val>
            <c:numLit>
              <c:formatCode>General</c:formatCode>
              <c:ptCount val="3"/>
              <c:pt idx="0">
                <c:v>1</c:v>
              </c:pt>
              <c:pt idx="1">
                <c:v>2</c:v>
              </c:pt>
              <c:pt idx="2">
                <c:v>10</c:v>
              </c:pt>
            </c:numLit>
          </c:val>
          <c:extLst>
            <c:ext xmlns:c16="http://schemas.microsoft.com/office/drawing/2014/chart" uri="{C3380CC4-5D6E-409C-BE32-E72D297353CC}">
              <c16:uniqueId val="{00000006-AD82-4E1C-895B-65B76C901D5E}"/>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Pre-treatment risk levels by risk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2"/>
          </a:solidFill>
          <a:ln>
            <a:noFill/>
          </a:ln>
          <a:effectLst/>
          <a:sp3d/>
        </c:spPr>
      </c:pivotFmt>
      <c:pivotFmt>
        <c:idx val="3"/>
        <c:spPr>
          <a:solidFill>
            <a:schemeClr val="accent3"/>
          </a:solidFill>
          <a:ln>
            <a:noFill/>
          </a:ln>
          <a:effectLst/>
          <a:sp3d/>
        </c:spPr>
      </c:pivotFmt>
      <c:pivotFmt>
        <c:idx val="4"/>
        <c:spPr>
          <a:solidFill>
            <a:schemeClr val="bg2"/>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bg2"/>
          </a:solidFill>
          <a:ln>
            <a:noFill/>
          </a:ln>
          <a:effectLst/>
          <a:sp3d/>
        </c:spP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bg2"/>
          </a:solidFill>
          <a:ln>
            <a:noFill/>
          </a:ln>
          <a:effectLst/>
          <a:sp3d/>
        </c:spPr>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bg2"/>
          </a:solidFill>
          <a:ln>
            <a:noFill/>
          </a:ln>
          <a:effectLst/>
          <a:sp3d/>
        </c:spPr>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bg2"/>
          </a:solidFill>
          <a:ln>
            <a:noFill/>
          </a:ln>
          <a:effectLst/>
          <a:sp3d/>
        </c:spPr>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bg2"/>
          </a:solidFill>
          <a:ln>
            <a:noFill/>
          </a:ln>
          <a:effectLst/>
          <a:sp3d/>
        </c:spPr>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pivotFmt>
      <c:pivotFmt>
        <c:idx val="57"/>
        <c:spPr>
          <a:solidFill>
            <a:schemeClr val="accent1"/>
          </a:solidFill>
          <a:ln>
            <a:noFill/>
          </a:ln>
          <a:effectLst/>
          <a:sp3d/>
        </c:spPr>
      </c:pivotFmt>
      <c:pivotFmt>
        <c:idx val="58"/>
        <c:spPr>
          <a:solidFill>
            <a:schemeClr val="bg2"/>
          </a:solidFill>
          <a:ln>
            <a:noFill/>
          </a:ln>
          <a:effectLst/>
          <a:sp3d/>
        </c:spPr>
      </c:pivotFmt>
      <c:pivotFmt>
        <c:idx val="59"/>
        <c:spPr>
          <a:solidFill>
            <a:schemeClr val="accent1"/>
          </a:solidFill>
          <a:ln>
            <a:noFill/>
          </a:ln>
          <a:effectLst/>
          <a:sp3d/>
        </c:spPr>
      </c:pivotFmt>
      <c:pivotFmt>
        <c:idx val="60"/>
        <c:spPr>
          <a:solidFill>
            <a:schemeClr val="accent1"/>
          </a:solidFill>
          <a:ln>
            <a:noFill/>
          </a:ln>
          <a:effectLst/>
          <a:sp3d/>
        </c:spPr>
      </c:pivotFmt>
      <c:pivotFmt>
        <c:idx val="61"/>
        <c:spPr>
          <a:solidFill>
            <a:schemeClr val="accent1"/>
          </a:solidFill>
          <a:ln>
            <a:noFill/>
          </a:ln>
          <a:effectLst/>
          <a:sp3d/>
        </c:spPr>
      </c:pivotFmt>
      <c:pivotFmt>
        <c:idx val="62"/>
        <c:spPr>
          <a:solidFill>
            <a:schemeClr val="accent1"/>
          </a:solidFill>
          <a:ln>
            <a:noFill/>
          </a:ln>
          <a:effectLst/>
          <a:sp3d/>
        </c:spPr>
      </c:pivotFmt>
      <c:pivotFmt>
        <c:idx val="63"/>
        <c:spPr>
          <a:solidFill>
            <a:schemeClr val="accent1"/>
          </a:solidFill>
          <a:ln>
            <a:noFill/>
          </a:ln>
          <a:effectLst/>
          <a:sp3d/>
        </c:spPr>
      </c:pivotFmt>
      <c:pivotFmt>
        <c:idx val="64"/>
        <c:spPr>
          <a:solidFill>
            <a:schemeClr val="accent1"/>
          </a:solidFill>
          <a:ln>
            <a:noFill/>
          </a:ln>
          <a:effectLst/>
          <a:sp3d/>
        </c:spPr>
      </c:pivotFmt>
      <c:pivotFmt>
        <c:idx val="65"/>
        <c:spPr>
          <a:solidFill>
            <a:schemeClr val="accent1"/>
          </a:solidFill>
          <a:ln>
            <a:noFill/>
          </a:ln>
          <a:effectLst/>
          <a:sp3d/>
        </c:spPr>
      </c:pivotFmt>
      <c:pivotFmt>
        <c:idx val="66"/>
        <c:spPr>
          <a:solidFill>
            <a:schemeClr val="accent1"/>
          </a:solidFill>
          <a:ln>
            <a:noFill/>
          </a:ln>
          <a:effectLst/>
          <a:sp3d/>
        </c:spPr>
      </c:pivotFmt>
      <c:pivotFmt>
        <c:idx val="67"/>
        <c:spPr>
          <a:solidFill>
            <a:schemeClr val="accent1"/>
          </a:solidFill>
          <a:ln>
            <a:noFill/>
          </a:ln>
          <a:effectLst/>
          <a:sp3d/>
        </c:spPr>
      </c:pivotFmt>
      <c:pivotFmt>
        <c:idx val="6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sp3d/>
        </c:spPr>
      </c:pivotFmt>
      <c:pivotFmt>
        <c:idx val="70"/>
        <c:spPr>
          <a:solidFill>
            <a:schemeClr val="accent1"/>
          </a:solidFill>
          <a:ln>
            <a:noFill/>
          </a:ln>
          <a:effectLst/>
          <a:sp3d/>
        </c:spPr>
      </c:pivotFmt>
      <c:pivotFmt>
        <c:idx val="71"/>
        <c:spPr>
          <a:solidFill>
            <a:schemeClr val="accent1"/>
          </a:solidFill>
          <a:ln>
            <a:noFill/>
          </a:ln>
          <a:effectLst/>
          <a:sp3d/>
        </c:spPr>
      </c:pivotFmt>
      <c:pivotFmt>
        <c:idx val="72"/>
        <c:spPr>
          <a:solidFill>
            <a:schemeClr val="accent1"/>
          </a:solidFill>
          <a:ln>
            <a:noFill/>
          </a:ln>
          <a:effectLst/>
          <a:sp3d/>
        </c:spPr>
      </c:pivotFmt>
      <c:pivotFmt>
        <c:idx val="73"/>
        <c:spPr>
          <a:solidFill>
            <a:schemeClr val="accent1"/>
          </a:solidFill>
          <a:ln>
            <a:noFill/>
          </a:ln>
          <a:effectLst/>
          <a:sp3d/>
        </c:spPr>
      </c:pivotFmt>
      <c:pivotFmt>
        <c:idx val="74"/>
        <c:spPr>
          <a:solidFill>
            <a:schemeClr val="accent1"/>
          </a:solidFill>
          <a:ln>
            <a:noFill/>
          </a:ln>
          <a:effectLst/>
          <a:sp3d/>
        </c:spPr>
      </c:pivotFmt>
      <c:pivotFmt>
        <c:idx val="75"/>
        <c:spPr>
          <a:solidFill>
            <a:schemeClr val="accent1"/>
          </a:solidFill>
          <a:ln>
            <a:noFill/>
          </a:ln>
          <a:effectLst/>
          <a:sp3d/>
        </c:spPr>
      </c:pivotFmt>
      <c:pivotFmt>
        <c:idx val="76"/>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v>الإجمالي</c:v>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9C1F-4D08-BFDF-865AD903BDA4}"/>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9C1F-4D08-BFDF-865AD903BDA4}"/>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9C1F-4D08-BFDF-865AD903BDA4}"/>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9C1F-4D08-BFDF-865AD903BDA4}"/>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9C1F-4D08-BFDF-865AD903BDA4}"/>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9C1F-4D08-BFDF-865AD903BDA4}"/>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9C1F-4D08-BFDF-865AD903BDA4}"/>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F-9C1F-4D08-BFDF-865AD903BDA4}"/>
              </c:ext>
            </c:extLst>
          </c:dPt>
          <c:cat>
            <c:strLit>
              <c:ptCount val="8"/>
              <c:pt idx="0">
                <c:v> HIGH CIO</c:v>
              </c:pt>
              <c:pt idx="1">
                <c:v> HIGH Development Manager</c:v>
              </c:pt>
              <c:pt idx="2">
                <c:v> HIGH CISO</c:v>
              </c:pt>
              <c:pt idx="3">
                <c:v> HIGH COO</c:v>
              </c:pt>
              <c:pt idx="4">
                <c:v> HIGH HR Manager</c:v>
              </c:pt>
              <c:pt idx="5">
                <c:v> MEDIUM Supplier Manager</c:v>
              </c:pt>
              <c:pt idx="6">
                <c:v> MEDIUM CISO</c:v>
              </c:pt>
              <c:pt idx="7">
                <c:v> LOW Facilities Manager</c:v>
              </c:pt>
            </c:strLit>
          </c:cat>
          <c:val>
            <c:numLit>
              <c:formatCode>General</c:formatCode>
              <c:ptCount val="8"/>
              <c:pt idx="0">
                <c:v>4</c:v>
              </c:pt>
              <c:pt idx="1">
                <c:v>1</c:v>
              </c:pt>
              <c:pt idx="2">
                <c:v>2</c:v>
              </c:pt>
              <c:pt idx="3">
                <c:v>2</c:v>
              </c:pt>
              <c:pt idx="4">
                <c:v>1</c:v>
              </c:pt>
              <c:pt idx="5">
                <c:v>1</c:v>
              </c:pt>
              <c:pt idx="6">
                <c:v>1</c:v>
              </c:pt>
              <c:pt idx="7">
                <c:v>1</c:v>
              </c:pt>
            </c:numLit>
          </c:val>
          <c:extLst>
            <c:ext xmlns:c16="http://schemas.microsoft.com/office/drawing/2014/chart" uri="{C3380CC4-5D6E-409C-BE32-E72D297353CC}">
              <c16:uniqueId val="{00000010-9C1F-4D08-BFDF-865AD903BDA4}"/>
            </c:ext>
          </c:extLst>
        </c:ser>
        <c:dLbls>
          <c:showLegendKey val="0"/>
          <c:showVal val="0"/>
          <c:showCatName val="0"/>
          <c:showSerName val="0"/>
          <c:showPercent val="0"/>
          <c:showBubbleSize val="0"/>
        </c:dLbls>
        <c:gapWidth val="150"/>
        <c:shape val="box"/>
        <c:axId val="1162753848"/>
        <c:axId val="1162751552"/>
        <c:axId val="0"/>
      </c:bar3DChart>
      <c:catAx>
        <c:axId val="1162753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751552"/>
        <c:crosses val="autoZero"/>
        <c:auto val="1"/>
        <c:lblAlgn val="ctr"/>
        <c:lblOffset val="100"/>
        <c:noMultiLvlLbl val="0"/>
      </c:catAx>
      <c:valAx>
        <c:axId val="116275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62753848"/>
        <c:crosses val="autoZero"/>
        <c:crossBetween val="between"/>
        <c:majorUnit val="2"/>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Risks by treatment option chosen</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GB"/>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4"/>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5"/>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الإجمالي</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735-4FF2-A0E4-193B9846664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735-4FF2-A0E4-193B9846664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735-4FF2-A0E4-193B984666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Modify</c:v>
              </c:pt>
              <c:pt idx="1">
                <c:v>Accept</c:v>
              </c:pt>
              <c:pt idx="2">
                <c:v>Avoid</c:v>
              </c:pt>
            </c:strLit>
          </c:cat>
          <c:val>
            <c:numLit>
              <c:formatCode>General</c:formatCode>
              <c:ptCount val="3"/>
              <c:pt idx="0">
                <c:v>10</c:v>
              </c:pt>
              <c:pt idx="1">
                <c:v>2</c:v>
              </c:pt>
              <c:pt idx="2">
                <c:v>1</c:v>
              </c:pt>
            </c:numLit>
          </c:val>
          <c:extLst>
            <c:ext xmlns:c16="http://schemas.microsoft.com/office/drawing/2014/chart" uri="{C3380CC4-5D6E-409C-BE32-E72D297353CC}">
              <c16:uniqueId val="{00000006-B735-4FF2-A0E4-193B9846664A}"/>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Total treatment cost by risk level</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p3d/>
        </c:spPr>
      </c:pivotFmt>
      <c:pivotFmt>
        <c:idx val="4"/>
        <c:spPr>
          <a:solidFill>
            <a:srgbClr val="FF0000"/>
          </a:solidFill>
          <a:ln>
            <a:noFill/>
          </a:ln>
          <a:effectLst/>
          <a:sp3d/>
        </c:spPr>
      </c:pivotFmt>
      <c:pivotFmt>
        <c:idx val="5"/>
        <c:spPr>
          <a:solidFill>
            <a:srgbClr val="92D050"/>
          </a:solidFill>
          <a:ln>
            <a:noFill/>
          </a:ln>
          <a:effectLst/>
          <a:sp3d/>
        </c:spPr>
      </c:pivotFmt>
      <c:pivotFmt>
        <c:idx val="6"/>
        <c:spPr>
          <a:solidFill>
            <a:srgbClr val="FF0000"/>
          </a:solidFill>
          <a:ln>
            <a:noFill/>
          </a:ln>
          <a:effectLst/>
          <a:sp3d/>
        </c:spPr>
      </c:pivotFmt>
      <c:pivotFmt>
        <c:idx val="7"/>
        <c:spPr>
          <a:solidFill>
            <a:srgbClr val="92D050"/>
          </a:solidFill>
          <a:ln>
            <a:noFill/>
          </a:ln>
          <a:effectLst/>
          <a:sp3d/>
        </c:spPr>
      </c:pivotFmt>
      <c:pivotFmt>
        <c:idx val="8"/>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a:sp3d/>
        </c:spPr>
      </c:pivotFmt>
      <c:pivotFmt>
        <c:idx val="10"/>
        <c:spPr>
          <a:solidFill>
            <a:srgbClr val="FF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الإجمالي</c:v>
          </c:tx>
          <c:spPr>
            <a:solidFill>
              <a:srgbClr val="FFC000"/>
            </a:solidFill>
            <a:ln>
              <a:noFill/>
            </a:ln>
            <a:effectLst/>
            <a:sp3d/>
          </c:spPr>
          <c:invertIfNegative val="0"/>
          <c:dPt>
            <c:idx val="0"/>
            <c:invertIfNegative val="0"/>
            <c:bubble3D val="0"/>
            <c:spPr>
              <a:solidFill>
                <a:srgbClr val="92D050"/>
              </a:solidFill>
              <a:ln>
                <a:noFill/>
              </a:ln>
              <a:effectLst/>
              <a:sp3d/>
            </c:spPr>
            <c:extLst>
              <c:ext xmlns:c16="http://schemas.microsoft.com/office/drawing/2014/chart" uri="{C3380CC4-5D6E-409C-BE32-E72D297353CC}">
                <c16:uniqueId val="{00000001-8D52-41E9-825C-60BC2E149E04}"/>
              </c:ext>
            </c:extLst>
          </c:dPt>
          <c:dPt>
            <c:idx val="1"/>
            <c:invertIfNegative val="0"/>
            <c:bubble3D val="0"/>
            <c:extLst>
              <c:ext xmlns:c16="http://schemas.microsoft.com/office/drawing/2014/chart" uri="{C3380CC4-5D6E-409C-BE32-E72D297353CC}">
                <c16:uniqueId val="{00000002-8D52-41E9-825C-60BC2E149E04}"/>
              </c:ext>
            </c:extLst>
          </c:dPt>
          <c:dPt>
            <c:idx val="2"/>
            <c:invertIfNegative val="0"/>
            <c:bubble3D val="0"/>
            <c:spPr>
              <a:solidFill>
                <a:srgbClr val="FF0000"/>
              </a:solidFill>
              <a:ln>
                <a:noFill/>
              </a:ln>
              <a:effectLst/>
              <a:sp3d/>
            </c:spPr>
            <c:extLst>
              <c:ext xmlns:c16="http://schemas.microsoft.com/office/drawing/2014/chart" uri="{C3380CC4-5D6E-409C-BE32-E72D297353CC}">
                <c16:uniqueId val="{00000004-8D52-41E9-825C-60BC2E149E04}"/>
              </c:ext>
            </c:extLst>
          </c:dPt>
          <c:cat>
            <c:strLit>
              <c:ptCount val="3"/>
              <c:pt idx="0">
                <c:v> LOW</c:v>
              </c:pt>
              <c:pt idx="1">
                <c:v> MEDIUM</c:v>
              </c:pt>
              <c:pt idx="2">
                <c:v> HIGH</c:v>
              </c:pt>
            </c:strLit>
          </c:cat>
          <c:val>
            <c:numLit>
              <c:formatCode>General</c:formatCode>
              <c:ptCount val="3"/>
              <c:pt idx="0">
                <c:v>0</c:v>
              </c:pt>
              <c:pt idx="1">
                <c:v>12000</c:v>
              </c:pt>
              <c:pt idx="2">
                <c:v>45500</c:v>
              </c:pt>
            </c:numLit>
          </c:val>
          <c:extLst>
            <c:ext xmlns:c16="http://schemas.microsoft.com/office/drawing/2014/chart" uri="{C3380CC4-5D6E-409C-BE32-E72D297353CC}">
              <c16:uniqueId val="{00000005-8D52-41E9-825C-60BC2E149E04}"/>
            </c:ext>
          </c:extLst>
        </c:ser>
        <c:dLbls>
          <c:showLegendKey val="0"/>
          <c:showVal val="0"/>
          <c:showCatName val="0"/>
          <c:showSerName val="0"/>
          <c:showPercent val="0"/>
          <c:showBubbleSize val="0"/>
        </c:dLbls>
        <c:gapWidth val="150"/>
        <c:shape val="box"/>
        <c:axId val="1275265464"/>
        <c:axId val="1275260544"/>
        <c:axId val="0"/>
      </c:bar3DChart>
      <c:catAx>
        <c:axId val="1275265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260544"/>
        <c:crosses val="autoZero"/>
        <c:auto val="1"/>
        <c:lblAlgn val="ctr"/>
        <c:lblOffset val="100"/>
        <c:noMultiLvlLbl val="0"/>
      </c:catAx>
      <c:valAx>
        <c:axId val="1275260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5265464"/>
        <c:crosses val="autoZero"/>
        <c:crossBetween val="between"/>
      </c:valAx>
      <c:dTable>
        <c:showHorzBorder val="0"/>
        <c:showVertBorder val="1"/>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Treatment action owner </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 LOW</c:v>
          </c:tx>
          <c:spPr>
            <a:solidFill>
              <a:srgbClr val="92D050"/>
            </a:solidFill>
            <a:ln>
              <a:noFill/>
            </a:ln>
            <a:effectLst/>
            <a:sp3d/>
          </c:spPr>
          <c:invertIfNegative val="0"/>
          <c:cat>
            <c:strLit>
              <c:ptCount val="7"/>
              <c:pt idx="0">
                <c:v>CIO</c:v>
              </c:pt>
              <c:pt idx="1">
                <c:v>Development Manager</c:v>
              </c:pt>
              <c:pt idx="2">
                <c:v>Supplier Manager</c:v>
              </c:pt>
              <c:pt idx="3">
                <c:v>CISO</c:v>
              </c:pt>
              <c:pt idx="4">
                <c:v>COO</c:v>
              </c:pt>
              <c:pt idx="5">
                <c:v>HR Manager</c:v>
              </c:pt>
              <c:pt idx="6">
                <c:v>(فارغ)</c:v>
              </c:pt>
            </c:strLit>
          </c:cat>
          <c:val>
            <c:numLit>
              <c:formatCode>General</c:formatCode>
              <c:ptCount val="7"/>
              <c:pt idx="0">
                <c:v>0</c:v>
              </c:pt>
              <c:pt idx="1">
                <c:v>0</c:v>
              </c:pt>
              <c:pt idx="2">
                <c:v>0</c:v>
              </c:pt>
              <c:pt idx="3">
                <c:v>0</c:v>
              </c:pt>
              <c:pt idx="4">
                <c:v>0</c:v>
              </c:pt>
              <c:pt idx="5">
                <c:v>0</c:v>
              </c:pt>
              <c:pt idx="6">
                <c:v>0</c:v>
              </c:pt>
            </c:numLit>
          </c:val>
          <c:extLst>
            <c:ext xmlns:c16="http://schemas.microsoft.com/office/drawing/2014/chart" uri="{C3380CC4-5D6E-409C-BE32-E72D297353CC}">
              <c16:uniqueId val="{00000000-E8FF-4AB3-8E9D-7CEFA2E2E623}"/>
            </c:ext>
          </c:extLst>
        </c:ser>
        <c:ser>
          <c:idx val="1"/>
          <c:order val="1"/>
          <c:tx>
            <c:v> MEDIUM</c:v>
          </c:tx>
          <c:spPr>
            <a:solidFill>
              <a:srgbClr val="FFC000"/>
            </a:solidFill>
            <a:ln>
              <a:noFill/>
            </a:ln>
            <a:effectLst/>
            <a:sp3d/>
          </c:spPr>
          <c:invertIfNegative val="0"/>
          <c:cat>
            <c:strLit>
              <c:ptCount val="7"/>
              <c:pt idx="0">
                <c:v>CIO</c:v>
              </c:pt>
              <c:pt idx="1">
                <c:v>Development Manager</c:v>
              </c:pt>
              <c:pt idx="2">
                <c:v>Supplier Manager</c:v>
              </c:pt>
              <c:pt idx="3">
                <c:v>CISO</c:v>
              </c:pt>
              <c:pt idx="4">
                <c:v>COO</c:v>
              </c:pt>
              <c:pt idx="5">
                <c:v>HR Manager</c:v>
              </c:pt>
              <c:pt idx="6">
                <c:v>(فارغ)</c:v>
              </c:pt>
            </c:strLit>
          </c:cat>
          <c:val>
            <c:numLit>
              <c:formatCode>General</c:formatCode>
              <c:ptCount val="7"/>
              <c:pt idx="0">
                <c:v>0</c:v>
              </c:pt>
              <c:pt idx="1">
                <c:v>0</c:v>
              </c:pt>
              <c:pt idx="2">
                <c:v>1</c:v>
              </c:pt>
              <c:pt idx="3">
                <c:v>1</c:v>
              </c:pt>
              <c:pt idx="4">
                <c:v>0</c:v>
              </c:pt>
              <c:pt idx="5">
                <c:v>0</c:v>
              </c:pt>
              <c:pt idx="6">
                <c:v>0</c:v>
              </c:pt>
            </c:numLit>
          </c:val>
          <c:extLst>
            <c:ext xmlns:c16="http://schemas.microsoft.com/office/drawing/2014/chart" uri="{C3380CC4-5D6E-409C-BE32-E72D297353CC}">
              <c16:uniqueId val="{00000001-E8FF-4AB3-8E9D-7CEFA2E2E623}"/>
            </c:ext>
          </c:extLst>
        </c:ser>
        <c:ser>
          <c:idx val="2"/>
          <c:order val="2"/>
          <c:tx>
            <c:v> HIGH</c:v>
          </c:tx>
          <c:spPr>
            <a:solidFill>
              <a:srgbClr val="FF0000"/>
            </a:solidFill>
            <a:ln>
              <a:noFill/>
            </a:ln>
            <a:effectLst/>
            <a:sp3d/>
          </c:spPr>
          <c:invertIfNegative val="0"/>
          <c:cat>
            <c:strLit>
              <c:ptCount val="7"/>
              <c:pt idx="0">
                <c:v>CIO</c:v>
              </c:pt>
              <c:pt idx="1">
                <c:v>Development Manager</c:v>
              </c:pt>
              <c:pt idx="2">
                <c:v>Supplier Manager</c:v>
              </c:pt>
              <c:pt idx="3">
                <c:v>CISO</c:v>
              </c:pt>
              <c:pt idx="4">
                <c:v>COO</c:v>
              </c:pt>
              <c:pt idx="5">
                <c:v>HR Manager</c:v>
              </c:pt>
              <c:pt idx="6">
                <c:v>(فارغ)</c:v>
              </c:pt>
            </c:strLit>
          </c:cat>
          <c:val>
            <c:numLit>
              <c:formatCode>General</c:formatCode>
              <c:ptCount val="7"/>
              <c:pt idx="0">
                <c:v>4</c:v>
              </c:pt>
              <c:pt idx="1">
                <c:v>1</c:v>
              </c:pt>
              <c:pt idx="2">
                <c:v>0</c:v>
              </c:pt>
              <c:pt idx="3">
                <c:v>2</c:v>
              </c:pt>
              <c:pt idx="4">
                <c:v>2</c:v>
              </c:pt>
              <c:pt idx="5">
                <c:v>1</c:v>
              </c:pt>
              <c:pt idx="6">
                <c:v>0</c:v>
              </c:pt>
            </c:numLit>
          </c:val>
          <c:extLst>
            <c:ext xmlns:c16="http://schemas.microsoft.com/office/drawing/2014/chart" uri="{C3380CC4-5D6E-409C-BE32-E72D297353CC}">
              <c16:uniqueId val="{00000002-E8FF-4AB3-8E9D-7CEFA2E2E623}"/>
            </c:ext>
          </c:extLst>
        </c:ser>
        <c:dLbls>
          <c:showLegendKey val="0"/>
          <c:showVal val="0"/>
          <c:showCatName val="0"/>
          <c:showSerName val="0"/>
          <c:showPercent val="0"/>
          <c:showBubbleSize val="0"/>
        </c:dLbls>
        <c:gapWidth val="150"/>
        <c:shape val="box"/>
        <c:axId val="1242980056"/>
        <c:axId val="1242986944"/>
        <c:axId val="0"/>
      </c:bar3DChart>
      <c:catAx>
        <c:axId val="1242980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86944"/>
        <c:crosses val="autoZero"/>
        <c:auto val="1"/>
        <c:lblAlgn val="ctr"/>
        <c:lblOffset val="100"/>
        <c:noMultiLvlLbl val="0"/>
      </c:catAx>
      <c:valAx>
        <c:axId val="124298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80056"/>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 /><Relationship Id="rId3" Type="http://schemas.openxmlformats.org/officeDocument/2006/relationships/image" Target="../media/image1.jpeg" /><Relationship Id="rId7" Type="http://schemas.openxmlformats.org/officeDocument/2006/relationships/chart" Target="../charts/chart6.xml" /><Relationship Id="rId2" Type="http://schemas.openxmlformats.org/officeDocument/2006/relationships/chart" Target="../charts/chart2.xml" /><Relationship Id="rId1" Type="http://schemas.openxmlformats.org/officeDocument/2006/relationships/chart" Target="../charts/chart1.xml" /><Relationship Id="rId6" Type="http://schemas.openxmlformats.org/officeDocument/2006/relationships/chart" Target="../charts/chart5.xml" /><Relationship Id="rId5" Type="http://schemas.openxmlformats.org/officeDocument/2006/relationships/chart" Target="../charts/chart4.xml" /><Relationship Id="rId4" Type="http://schemas.openxmlformats.org/officeDocument/2006/relationships/chart" Target="../charts/chart3.xml" /></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 /></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 /></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 /></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 /></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 /></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1</xdr:col>
      <xdr:colOff>25148</xdr:colOff>
      <xdr:row>0</xdr:row>
      <xdr:rowOff>83820</xdr:rowOff>
    </xdr:from>
    <xdr:to>
      <xdr:col>2</xdr:col>
      <xdr:colOff>101348</xdr:colOff>
      <xdr:row>6</xdr:row>
      <xdr:rowOff>83820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23268" y="83820"/>
          <a:ext cx="1828800" cy="109728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222948</xdr:colOff>
      <xdr:row>0</xdr:row>
      <xdr:rowOff>68580</xdr:rowOff>
    </xdr:from>
    <xdr:to>
      <xdr:col>3</xdr:col>
      <xdr:colOff>664908</xdr:colOff>
      <xdr:row>6</xdr:row>
      <xdr:rowOff>60960</xdr:rowOff>
    </xdr:to>
    <xdr:pic>
      <xdr:nvPicPr>
        <xdr:cNvPr id="11" name="Picture 10">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21068" y="68580"/>
          <a:ext cx="1828800" cy="1097280"/>
        </a:xfrm>
        <a:prstGeom prst="rect">
          <a:avLst/>
        </a:prstGeom>
        <a:ln>
          <a:prstDash val="solid"/>
        </a:ln>
      </xdr:spPr>
    </xdr:pic>
    <xdr:clientData/>
  </xdr:twoCellAnchor>
  <mc:AlternateContent xmlns:mc="http://schemas.openxmlformats.org/markup-compatibility/2006">
    <mc:Choice xmlns:a14="http://schemas.microsoft.com/office/drawing/2010/main" Requires="a14">
      <xdr:twoCellAnchor>
        <xdr:from>
          <xdr:col>3</xdr:col>
          <xdr:colOff>858390</xdr:colOff>
          <xdr:row>0</xdr:row>
          <xdr:rowOff>-9826</xdr:rowOff>
        </xdr:from>
        <xdr:to>
          <xdr:col>3</xdr:col>
          <xdr:colOff>858390</xdr:colOff>
          <xdr:row>0</xdr:row>
          <xdr:rowOff>-9826</xdr:rowOff>
        </xdr:to>
        <xdr:grpSp>
          <xdr:nvGrpSpPr>
            <xdr:cNvPr id="5" name="Group 1">
              <a:extLst>
                <a:ext uri="{FF2B5EF4-FFF2-40B4-BE49-F238E27FC236}">
                  <a16:creationId xmlns:a16="http://schemas.microsoft.com/office/drawing/2014/main" id="{D9F6D2CB-45B2-4120-96A3-EC9E37A31990}"/>
                </a:ext>
              </a:extLst>
            </xdr:cNvPr>
            <xdr:cNvGrpSpPr/>
          </xdr:nvGrpSpPr>
          <xdr:grpSpPr>
            <a:xfrm>
              <a:off x="2489268" y="-9826"/>
              <a:ext cx="0" cy="0"/>
              <a:chOff x="2489268" y="-9826"/>
              <a:chExt cx="0" cy="0"/>
            </a:xfrm>
          </xdr:grpSpPr>
        </xdr:grp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-106559</xdr:colOff>
          <xdr:row>0</xdr:row>
          <xdr:rowOff>-108886</xdr:rowOff>
        </xdr:from>
        <xdr:to>
          <xdr:col>0</xdr:col>
          <xdr:colOff>-106559</xdr:colOff>
          <xdr:row>0</xdr:row>
          <xdr:rowOff>-108886</xdr:rowOff>
        </xdr:to>
        <xdr:grpSp>
          <xdr:nvGrpSpPr>
            <xdr:cNvPr id="24" name="Group 1">
              <a:extLst>
                <a:ext uri="{FF2B5EF4-FFF2-40B4-BE49-F238E27FC236}">
                  <a16:creationId xmlns:a16="http://schemas.microsoft.com/office/drawing/2014/main" id="{58844384-6C1D-430A-9140-A48B103759AD}"/>
                </a:ext>
              </a:extLst>
            </xdr:cNvPr>
            <xdr:cNvGrpSpPr/>
          </xdr:nvGrpSpPr>
          <xdr:grpSpPr>
            <a:xfrm>
              <a:off x="-106559" y="-108886"/>
              <a:ext cx="0" cy="0"/>
              <a:chOff x="0" y="0"/>
              <a:chExt cx="0" cy="0"/>
            </a:xfrm>
          </xdr:grpSpPr>
        </xdr:grp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0</xdr:colOff>
      <xdr:row>35</xdr:row>
      <xdr:rowOff>0</xdr:rowOff>
    </xdr:from>
    <xdr:to>
      <xdr:col>6</xdr:col>
      <xdr:colOff>904050</xdr:colOff>
      <xdr:row>53</xdr:row>
      <xdr:rowOff>171000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695324</xdr:colOff>
      <xdr:row>35</xdr:row>
      <xdr:rowOff>0</xdr:rowOff>
    </xdr:from>
    <xdr:to>
      <xdr:col>25</xdr:col>
      <xdr:colOff>572474</xdr:colOff>
      <xdr:row>53</xdr:row>
      <xdr:rowOff>171000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395972</xdr:colOff>
      <xdr:row>0</xdr:row>
      <xdr:rowOff>81241</xdr:rowOff>
    </xdr:from>
    <xdr:to>
      <xdr:col>3</xdr:col>
      <xdr:colOff>754561</xdr:colOff>
      <xdr:row>6</xdr:row>
      <xdr:rowOff>102756</xdr:rowOff>
    </xdr:to>
    <xdr:pic>
      <xdr:nvPicPr>
        <xdr:cNvPr id="4" name="Picture 1">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593196" y="81241"/>
          <a:ext cx="1828800" cy="1097280"/>
        </a:xfrm>
        <a:prstGeom prst="rect">
          <a:avLst/>
        </a:prstGeom>
        <a:ln>
          <a:prstDash val="solid"/>
        </a:ln>
      </xdr:spPr>
    </xdr:pic>
    <xdr:clientData/>
  </xdr:twoCellAnchor>
  <xdr:twoCellAnchor>
    <xdr:from>
      <xdr:col>1</xdr:col>
      <xdr:colOff>0</xdr:colOff>
      <xdr:row>11</xdr:row>
      <xdr:rowOff>0</xdr:rowOff>
    </xdr:from>
    <xdr:to>
      <xdr:col>26</xdr:col>
      <xdr:colOff>55404</xdr:colOff>
      <xdr:row>30</xdr:row>
      <xdr:rowOff>121055</xdr:rowOff>
    </xdr:to>
    <xdr:grpSp>
      <xdr:nvGrpSpPr>
        <xdr:cNvPr id="6" name="Group 16">
          <a:extLst>
            <a:ext uri="{FF2B5EF4-FFF2-40B4-BE49-F238E27FC236}">
              <a16:creationId xmlns:a16="http://schemas.microsoft.com/office/drawing/2014/main" id="{683E3A2A-B90E-4CE2-ADFE-1B00E625D3FB}"/>
            </a:ext>
          </a:extLst>
        </xdr:cNvPr>
        <xdr:cNvGrpSpPr/>
      </xdr:nvGrpSpPr>
      <xdr:grpSpPr>
        <a:xfrm>
          <a:off x="197224" y="2142565"/>
          <a:ext cx="16819404" cy="3697972"/>
          <a:chOff x="190499" y="2638425"/>
          <a:chExt cx="16117275" cy="3600000"/>
        </a:xfrm>
      </xdr:grpSpPr>
      <xdr:graphicFrame macro="">
        <xdr:nvGraphicFramePr>
          <xdr:cNvPr id="7" name="Chart 14">
            <a:extLst>
              <a:ext uri="{FF2B5EF4-FFF2-40B4-BE49-F238E27FC236}">
                <a16:creationId xmlns:a16="http://schemas.microsoft.com/office/drawing/2014/main" id="{894AEBC3-A044-94D3-7C2F-D331B51AFA98}"/>
              </a:ext>
            </a:extLst>
          </xdr:cNvPr>
          <xdr:cNvGraphicFramePr>
            <a:graphicFrameLocks/>
          </xdr:cNvGraphicFramePr>
        </xdr:nvGraphicFramePr>
        <xdr:xfrm>
          <a:off x="190499" y="2638425"/>
          <a:ext cx="5076825" cy="3600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8" name="Chart 15">
            <a:extLst>
              <a:ext uri="{FF2B5EF4-FFF2-40B4-BE49-F238E27FC236}">
                <a16:creationId xmlns:a16="http://schemas.microsoft.com/office/drawing/2014/main" id="{9C344836-ABAE-4541-9EBE-FE1F5C4A16D1}"/>
              </a:ext>
            </a:extLst>
          </xdr:cNvPr>
          <xdr:cNvGraphicFramePr>
            <a:graphicFrameLocks/>
          </xdr:cNvGraphicFramePr>
        </xdr:nvGraphicFramePr>
        <xdr:xfrm>
          <a:off x="5972174" y="2638425"/>
          <a:ext cx="10335600" cy="36000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xdr:col>
      <xdr:colOff>0</xdr:colOff>
      <xdr:row>72</xdr:row>
      <xdr:rowOff>125506</xdr:rowOff>
    </xdr:from>
    <xdr:to>
      <xdr:col>26</xdr:col>
      <xdr:colOff>47411</xdr:colOff>
      <xdr:row>92</xdr:row>
      <xdr:rowOff>41653</xdr:rowOff>
    </xdr:to>
    <xdr:grpSp>
      <xdr:nvGrpSpPr>
        <xdr:cNvPr id="9" name="Group 24">
          <a:extLst>
            <a:ext uri="{FF2B5EF4-FFF2-40B4-BE49-F238E27FC236}">
              <a16:creationId xmlns:a16="http://schemas.microsoft.com/office/drawing/2014/main" id="{5057F25F-2F64-4760-A582-5C56D97F093B}"/>
            </a:ext>
          </a:extLst>
        </xdr:cNvPr>
        <xdr:cNvGrpSpPr/>
      </xdr:nvGrpSpPr>
      <xdr:grpSpPr>
        <a:xfrm>
          <a:off x="197224" y="16934330"/>
          <a:ext cx="16811411" cy="3502029"/>
          <a:chOff x="190500" y="17468850"/>
          <a:chExt cx="16114725" cy="3600000"/>
        </a:xfrm>
      </xdr:grpSpPr>
      <xdr:graphicFrame macro="">
        <xdr:nvGraphicFramePr>
          <xdr:cNvPr id="10" name="Chart 19">
            <a:extLst>
              <a:ext uri="{FF2B5EF4-FFF2-40B4-BE49-F238E27FC236}">
                <a16:creationId xmlns:a16="http://schemas.microsoft.com/office/drawing/2014/main" id="{4457FAC8-4084-E61D-4606-783C2C51E1A7}"/>
              </a:ext>
            </a:extLst>
          </xdr:cNvPr>
          <xdr:cNvGraphicFramePr>
            <a:graphicFrameLocks/>
          </xdr:cNvGraphicFramePr>
        </xdr:nvGraphicFramePr>
        <xdr:xfrm>
          <a:off x="190500" y="17468850"/>
          <a:ext cx="4320000" cy="36000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1" name="Chart 22">
            <a:extLst>
              <a:ext uri="{FF2B5EF4-FFF2-40B4-BE49-F238E27FC236}">
                <a16:creationId xmlns:a16="http://schemas.microsoft.com/office/drawing/2014/main" id="{451088BD-5E07-8E0A-07E0-38A1E59B824E}"/>
              </a:ext>
            </a:extLst>
          </xdr:cNvPr>
          <xdr:cNvGraphicFramePr>
            <a:graphicFrameLocks/>
          </xdr:cNvGraphicFramePr>
        </xdr:nvGraphicFramePr>
        <xdr:xfrm>
          <a:off x="4691063" y="17468850"/>
          <a:ext cx="4320000" cy="36000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2" name="Chart 23">
            <a:extLst>
              <a:ext uri="{FF2B5EF4-FFF2-40B4-BE49-F238E27FC236}">
                <a16:creationId xmlns:a16="http://schemas.microsoft.com/office/drawing/2014/main" id="{CD68BF17-4467-BF07-957A-32C49893DFD3}"/>
              </a:ext>
            </a:extLst>
          </xdr:cNvPr>
          <xdr:cNvGraphicFramePr>
            <a:graphicFrameLocks/>
          </xdr:cNvGraphicFramePr>
        </xdr:nvGraphicFramePr>
        <xdr:xfrm>
          <a:off x="9191625" y="17468850"/>
          <a:ext cx="7113600" cy="36000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32768</xdr:colOff>
      <xdr:row>0</xdr:row>
      <xdr:rowOff>106680</xdr:rowOff>
    </xdr:from>
    <xdr:to>
      <xdr:col>1</xdr:col>
      <xdr:colOff>1770128</xdr:colOff>
      <xdr:row>6</xdr:row>
      <xdr:rowOff>106680</xdr:rowOff>
    </xdr:to>
    <xdr:pic>
      <xdr:nvPicPr>
        <xdr:cNvPr id="3" name="Picture 2">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0888" y="106680"/>
          <a:ext cx="1737360" cy="109728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189930</xdr:colOff>
      <xdr:row>0</xdr:row>
      <xdr:rowOff>121920</xdr:rowOff>
    </xdr:from>
    <xdr:to>
      <xdr:col>3</xdr:col>
      <xdr:colOff>83250</xdr:colOff>
      <xdr:row>6</xdr:row>
      <xdr:rowOff>121920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9930" y="121920"/>
          <a:ext cx="1920240" cy="109728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41340</xdr:colOff>
      <xdr:row>0</xdr:row>
      <xdr:rowOff>129540</xdr:rowOff>
    </xdr:from>
    <xdr:to>
      <xdr:col>2</xdr:col>
      <xdr:colOff>689040</xdr:colOff>
      <xdr:row>7</xdr:row>
      <xdr:rowOff>38100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9460" y="129540"/>
          <a:ext cx="1920240" cy="1188720"/>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1213325</xdr:colOff>
      <xdr:row>6</xdr:row>
      <xdr:rowOff>5490</xdr:rowOff>
    </xdr:to>
    <xdr:pic>
      <xdr:nvPicPr>
        <xdr:cNvPr id="2" name="Picture 1" descr="Auto Replace">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xfrm>
          <a:off x="190500" y="190500"/>
          <a:ext cx="2527775" cy="957990"/>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6098</xdr:colOff>
      <xdr:row>1</xdr:row>
      <xdr:rowOff>38100</xdr:rowOff>
    </xdr:from>
    <xdr:to>
      <xdr:col>2</xdr:col>
      <xdr:colOff>943358</xdr:colOff>
      <xdr:row>6</xdr:row>
      <xdr:rowOff>129540</xdr:rowOff>
    </xdr:to>
    <xdr:pic>
      <xdr:nvPicPr>
        <xdr:cNvPr id="3" name="Picture 2">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4218" y="220980"/>
          <a:ext cx="1737360" cy="1005840"/>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88965</xdr:colOff>
      <xdr:row>0</xdr:row>
      <xdr:rowOff>45720</xdr:rowOff>
    </xdr:from>
    <xdr:to>
      <xdr:col>3</xdr:col>
      <xdr:colOff>431865</xdr:colOff>
      <xdr:row>6</xdr:row>
      <xdr:rowOff>45720</xdr:rowOff>
    </xdr:to>
    <xdr:pic>
      <xdr:nvPicPr>
        <xdr:cNvPr id="3" name="Picture 2">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8965" y="45720"/>
          <a:ext cx="1828800" cy="1097280"/>
        </a:xfrm>
        <a:prstGeom prst="rect">
          <a:avLst/>
        </a:prstGeom>
        <a:ln>
          <a:prstDash val="solid"/>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 /></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78.105008101855" createdVersion="6" refreshedVersion="8" minRefreshableVersion="3" recordCount="3" xr:uid="{00000000-000A-0000-FFFF-FFFF08000000}">
  <cacheSource type="worksheet">
    <worksheetSource name="PreMitigationRisksByRiskLevel10"/>
  </cacheSource>
  <cacheFields count="3">
    <cacheField name="Risk level" numFmtId="0">
      <sharedItems count="3">
        <s v=" Low"/>
        <s v=" Medium"/>
        <s v=" High"/>
      </sharedItems>
    </cacheField>
    <cacheField name="Pre-treatment" numFmtId="0">
      <sharedItems containsSemiMixedTypes="0" containsString="0" containsNumber="1" containsInteger="1" minValue="0" maxValue="7"/>
    </cacheField>
    <cacheField name="Post-treatment" numFmtId="0">
      <sharedItems containsSemiMixedTypes="0" containsString="0" containsNumber="1" containsInteger="1" minValue="0" maxValue="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78.105008217593" createdVersion="6" refreshedVersion="8" minRefreshableVersion="3" recordCount="3" xr:uid="{00000000-000A-0000-FFFF-FFFF0B000000}">
  <cacheSource type="worksheet">
    <worksheetSource name="RisksByRiskLevelPreandPostTreatment10"/>
  </cacheSource>
  <cacheFields count="2">
    <cacheField name="Risk level" numFmtId="0">
      <sharedItems count="3">
        <s v=" Low"/>
        <s v=" Medium"/>
        <s v=" High"/>
      </sharedItems>
    </cacheField>
    <cacheField name="Post-treatment" numFmtId="0">
      <sharedItems containsSemiMixedTypes="0" containsString="0" containsNumber="1" containsInteger="1" minValue="0" maxValue="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78.105008333332" createdVersion="6" refreshedVersion="8" minRefreshableVersion="3" recordCount="10" xr:uid="{00000000-000A-0000-FFFF-FFFF09000000}">
  <cacheSource type="worksheet">
    <worksheetSource name="RiskAssessment"/>
  </cacheSource>
  <cacheFields count="29">
    <cacheField name="Ref" numFmtId="0">
      <sharedItems containsSemiMixedTypes="0" containsString="0" containsNumber="1" containsInteger="1" minValue="1" maxValue="10"/>
    </cacheField>
    <cacheField name="Asset Group" numFmtId="0">
      <sharedItems/>
    </cacheField>
    <cacheField name="Asset" numFmtId="0">
      <sharedItems/>
    </cacheField>
    <cacheField name="Threat" numFmtId="0">
      <sharedItems/>
    </cacheField>
    <cacheField name="Vulnerability" numFmtId="0">
      <sharedItems/>
    </cacheField>
    <cacheField name="Risk Type" numFmtId="0">
      <sharedItems count="3">
        <s v="C"/>
        <s v="I"/>
        <s v="A"/>
      </sharedItems>
    </cacheField>
    <cacheField name="Risk Owner" numFmtId="0">
      <sharedItems count="10">
        <s v="Digital Banking Owner"/>
        <s v="Head of Software Dev"/>
        <s v="CISO"/>
        <s v="Fraud Manager"/>
        <s v="IT Operations Mgr"/>
        <s v="IT Infra Lead"/>
        <s v="IT / HR Mgr"/>
        <s v="Vendor Lead"/>
        <s v="IT Support Lead"/>
        <s v="SOC Manager"/>
      </sharedItems>
    </cacheField>
    <cacheField name="Existing Controls" numFmtId="0">
      <sharedItems/>
    </cacheField>
    <cacheField name="Likelihood" numFmtId="0">
      <sharedItems containsSemiMixedTypes="0" containsString="0" containsNumber="1" containsInteger="1" minValue="2" maxValue="4"/>
    </cacheField>
    <cacheField name="Likelihood Rationale" numFmtId="0">
      <sharedItems/>
    </cacheField>
    <cacheField name="Impact" numFmtId="0">
      <sharedItems containsSemiMixedTypes="0" containsString="0" containsNumber="1" containsInteger="1" minValue="4" maxValue="5"/>
    </cacheField>
    <cacheField name="Impact Rationale" numFmtId="0">
      <sharedItems/>
    </cacheField>
    <cacheField name="Risk Score" numFmtId="0">
      <sharedItems containsSemiMixedTypes="0" containsString="0" containsNumber="1" containsInteger="1" minValue="8" maxValue="20"/>
    </cacheField>
    <cacheField name="Risk Level" numFmtId="0">
      <sharedItems count="2">
        <s v=" HIGH"/>
        <s v=" MEDIUM"/>
      </sharedItems>
    </cacheField>
    <cacheField name="Treatment Option Chosen" numFmtId="0">
      <sharedItems count="1">
        <s v="Modify"/>
      </sharedItems>
    </cacheField>
    <cacheField name="Proposed Treatment Action" numFmtId="0">
      <sharedItems/>
    </cacheField>
    <cacheField name="Annex A/Control Reference" numFmtId="0">
      <sharedItems/>
    </cacheField>
    <cacheField name="Treatment Cost" numFmtId="4">
      <sharedItems/>
    </cacheField>
    <cacheField name="Treatment Action Owner" numFmtId="0">
      <sharedItems count="10">
        <s v="Digital Banking Owner"/>
        <s v="Head of Software Dev"/>
        <s v="CISO"/>
        <s v="Fraud Manager"/>
        <s v="IT Operations Mgr"/>
        <s v="IT Infra Lead"/>
        <s v="IT / HR Mgr"/>
        <s v="Vendor Lead"/>
        <s v="IT Support Lead"/>
        <s v="SOC Manager"/>
      </sharedItems>
    </cacheField>
    <cacheField name="Treatment Action Timescale" numFmtId="0">
      <sharedItems/>
    </cacheField>
    <cacheField name="Treatment Action Progress" numFmtId="0">
      <sharedItems/>
    </cacheField>
    <cacheField name="Treatment Action Status" numFmtId="0">
      <sharedItems/>
    </cacheField>
    <cacheField name="Post-Treatment Likelihood" numFmtId="0">
      <sharedItems containsString="0" containsBlank="1" containsNumber="1" containsInteger="1" minValue="2" maxValue="2"/>
    </cacheField>
    <cacheField name="Post-Treatment Likelihood Rationale" numFmtId="0">
      <sharedItems/>
    </cacheField>
    <cacheField name="Post- Treatment Impact" numFmtId="0">
      <sharedItems containsString="0" containsBlank="1" containsNumber="1" containsInteger="1" minValue="2" maxValue="4"/>
    </cacheField>
    <cacheField name="Post-Treatment Impact Rationale" numFmtId="0">
      <sharedItems/>
    </cacheField>
    <cacheField name="Post-Treatment Risk Score" numFmtId="0">
      <sharedItems containsSemiMixedTypes="0" containsString="0" containsNumber="1" containsInteger="1" minValue="0" maxValue="8"/>
    </cacheField>
    <cacheField name="Post-Treatment Risk Level" numFmtId="0">
      <sharedItems/>
    </cacheField>
    <cacheField name="Comments" numFmtId="0">
      <sharedItems longText="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78.105008796294" createdVersion="6" refreshedVersion="8" minRefreshableVersion="3" recordCount="3" xr:uid="{00000000-000A-0000-FFFF-FFFF0A000000}">
  <cacheSource type="worksheet">
    <worksheetSource name="PreTreatmentRisksByRiskLevel"/>
  </cacheSource>
  <cacheFields count="2">
    <cacheField name="Risk level" numFmtId="0">
      <sharedItems count="3">
        <s v=" Low"/>
        <s v=" Medium"/>
        <s v=" High"/>
      </sharedItems>
    </cacheField>
    <cacheField name="Pre-treatment" numFmtId="0">
      <sharedItems containsSemiMixedTypes="0" containsString="0" containsNumber="1" containsInteger="1" minValue="0" maxValue="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n v="3"/>
  </r>
  <r>
    <x v="1"/>
    <n v="3"/>
    <n v="7"/>
  </r>
  <r>
    <x v="2"/>
    <n v="7"/>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3"/>
  </r>
  <r>
    <x v="1"/>
    <n v="7"/>
  </r>
  <r>
    <x v="2"/>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Information"/>
    <s v="Customer Master &amp; Account Data (IA-001 / IA-002)"/>
    <s v="Unauthorized disclosure or data exposure"/>
    <s v="Not specified in Risk-Assessment-Report.md beyond the general threat description."/>
    <x v="0"/>
    <x v="0"/>
    <s v="Active Directory access control; encryption coverage not confirmed as comprehensive (Case Study §3.2)."/>
    <n v="3"/>
    <s v="Not independently specified in Risk-Assessment-Report.md; derived as a factor of the documented total Risk Score (RT1 1-5 scale)."/>
    <n v="4"/>
    <s v="Not independently specified in Risk-Assessment-Report.md; derived as a factor of the documented total Risk Score (RT1 1-5 scale)."/>
    <n v="12"/>
    <x v="0"/>
    <x v="0"/>
    <s v="Mandatory Full-Disk Encryption &amp; Access Control (per Risk-Assessment-Report.md, Table 3 REF 1)."/>
    <s v="A.8.24 Use of cryptography"/>
    <s v="Not specified in case study"/>
    <x v="0"/>
    <s v="Not specified in case study"/>
    <s v="Not specified in case study"/>
    <s v="Not Started"/>
    <n v="2"/>
    <s v="Not assessed — pending completion of treatment actions (Risk-Assessment-Report.md states the treatment plan is a future step)."/>
    <n v="4"/>
    <s v="Not assessed — pending completion of treatment actions (Risk-Assessment-Report.md states the treatment plan is a future step)."/>
    <n v="8"/>
    <s v=" MEDIUM"/>
    <s v="Asset matched to IA-001 and IA-002 in the Information Asset Inventory."/>
  </r>
  <r>
    <n v="2"/>
    <s v="Information"/>
    <s v="Afaq Plus &amp; Afaq Net Source Code (IA-009 / IA-010)"/>
    <s v="Malicious code injection or exploitation"/>
    <s v="Insufficient input validation enabling SQL injection (Case Study §4.6; 3 high-risk findings, 2 of 3 remediated to date)."/>
    <x v="1"/>
    <x v="1"/>
    <s v="Qualys quarterly vulnerability scanning; GitLab Enterprise source-code management (Case Study §3.2, §4.6)."/>
    <n v="4"/>
    <s v="Not independently specified in Risk-Assessment-Report.md; derived as a factor of the documented total Risk Score (RT1 1-5 scale)."/>
    <n v="5"/>
    <s v="Not independently specified in Risk-Assessment-Report.md; derived as a factor of the documented total Risk Score (RT1 1-5 scale)."/>
    <n v="20"/>
    <x v="0"/>
    <x v="0"/>
    <s v="SQL injection remediation &amp; secure code review (per Risk-Assessment-Report.md, Table 3 REF 2)."/>
    <s v="A.8.28 Secure coding"/>
    <s v="Not specified in case study"/>
    <x v="1"/>
    <s v="Not specified in case study"/>
    <s v="Not specified in case study"/>
    <s v="Not Started"/>
    <n v="2"/>
    <s v="Not assessed — pending completion of treatment actions (Risk-Assessment-Report.md states the treatment plan is a future step)."/>
    <n v="4"/>
    <s v="Not assessed — pending completion of treatment actions (Risk-Assessment-Report.md states the treatment plan is a future step)."/>
    <n v="8"/>
    <s v=" MEDIUM"/>
    <s v="BANK RISK APPETITE CATEGORY: CRITICAL per RT1 Methodology/Risk Appetite Statement (this tool's native Risk Level formula only shows LOW/MEDIUM/HIGH, no Critical tier). Asset matched to IA-009 and IA-010."/>
  </r>
  <r>
    <n v="3"/>
    <s v="Information"/>
    <s v="Customer Authentication Data (IA-005)"/>
    <s v="Credential theft via advanced phishing"/>
    <s v="Limited security-awareness effectiveness — 25% phishing click-through, 8% reporting (Case Study §4.7)."/>
    <x v="0"/>
    <x v="2"/>
    <s v="RSA SecurID MFA (partial coverage); Cisco Email Security gateway (Case Study §3.2)."/>
    <n v="4"/>
    <s v="Not independently specified in Risk-Assessment-Report.md; derived as a factor of the documented total Risk Score (RT1 1-5 scale)."/>
    <n v="5"/>
    <s v="Not independently specified in Risk-Assessment-Report.md; derived as a factor of the documented total Risk Score (RT1 1-5 scale)."/>
    <n v="20"/>
    <x v="0"/>
    <x v="0"/>
    <s v="Advanced email filtering &amp; MFA enforcement (per Risk-Assessment-Report.md, Table 3 REF 3)."/>
    <s v="A.9.4 [INVALID — does not exist in ISO/IEC 27001:2022; source error, not corrected here]"/>
    <s v="Not specified in case study"/>
    <x v="2"/>
    <s v="Not specified in case study"/>
    <s v="Not specified in case study"/>
    <s v="Not Started"/>
    <m/>
    <s v="Not assessed — pending completion of treatment actions (Risk-Assessment-Report.md states the treatment plan is a future step)."/>
    <m/>
    <s v="Not assessed — pending completion of treatment actions (Risk-Assessment-Report.md states the treatment plan is a future step)."/>
    <n v="0"/>
    <s v=" LOW"/>
    <s v="BANK RISK APPETITE CATEGORY: CRITICAL per RT1 Methodology/Risk Appetite Statement (this tool's native Risk Level formula only shows LOW/MEDIUM/HIGH, no Critical tier). Asset matched to IA-005. NOTE: RA's cited code (A.9.4) does not exist in the 2022 standard — flagged as written, not silently corrected."/>
  </r>
  <r>
    <n v="4"/>
    <s v="Information"/>
    <s v="Digital Transaction Records (IA-003)"/>
    <s v="Unauthorized fund transfer / digital fraud"/>
    <s v="Not specified in Risk-Assessment-Report.md beyond the general threat description."/>
    <x v="1"/>
    <x v="3"/>
    <s v="Fraud Detection System with real-time monitoring, effective in a related incident (Case Study §3.2, §4.2)."/>
    <n v="3"/>
    <s v="Not independently specified in Risk-Assessment-Report.md; derived as a factor of the documented total Risk Score (RT1 1-5 scale)."/>
    <n v="5"/>
    <s v="Not independently specified in Risk-Assessment-Report.md; derived as a factor of the documented total Risk Score (RT1 1-5 scale)."/>
    <n v="15"/>
    <x v="0"/>
    <x v="0"/>
    <s v="Real-time fraud detection &amp; monitoring (per Risk-Assessment-Report.md, Table 3 REF 4)."/>
    <s v="A.8.15 Logging"/>
    <s v="Not specified in case study"/>
    <x v="3"/>
    <s v="Not specified in case study"/>
    <s v="Not specified in case study"/>
    <s v="Not Started"/>
    <n v="2"/>
    <s v="Not assessed — pending completion of treatment actions (Risk-Assessment-Report.md states the treatment plan is a future step)."/>
    <n v="2"/>
    <s v="Not assessed — pending completion of treatment actions (Risk-Assessment-Report.md states the treatment plan is a future step)."/>
    <n v="4"/>
    <s v=" LOW"/>
    <s v="Asset matched to IA-003."/>
  </r>
  <r>
    <n v="5"/>
    <s v="Network"/>
    <s v="Network &amp; Firewall Infrastructure (SW-008 / IA-012 / IA-013)"/>
    <s v="Misconfiguration causing service outage"/>
    <s v="No dual-review process for critical firewall changes; no rollback procedure (Case Study §4.1)."/>
    <x v="2"/>
    <x v="4"/>
    <s v="Palo Alto Networks firewalls (HA pair); FortiWeb WAF (Case Study §3.2)."/>
    <n v="2"/>
    <s v="Not independently specified in Risk-Assessment-Report.md; derived as a factor of the documented total Risk Score (RT1 1-5 scale)."/>
    <n v="4"/>
    <s v="Not independently specified in Risk-Assessment-Report.md; derived as a factor of the documented total Risk Score (RT1 1-5 scale)."/>
    <n v="8"/>
    <x v="1"/>
    <x v="0"/>
    <s v="Dual-authorization change control implemented (per Risk-Assessment-Report.md, Table 3 REF 5)."/>
    <s v="A.8.32 Change management"/>
    <s v="Not specified in case study"/>
    <x v="4"/>
    <s v="Not specified in case study"/>
    <s v="Not specified in case study"/>
    <s v="Not Started"/>
    <n v="2"/>
    <s v="Not assessed — pending completion of treatment actions (Risk-Assessment-Report.md states the treatment plan is a future step)."/>
    <n v="4"/>
    <s v="Not assessed — pending completion of treatment actions (Risk-Assessment-Report.md states the treatment plan is a future step)."/>
    <n v="8"/>
    <s v=" MEDIUM"/>
    <s v="Asset matched to SW-008, IA-012, IA-013."/>
  </r>
  <r>
    <n v="6"/>
    <s v="Information"/>
    <s v="Digital SSL/TLS Certificates (IA-020)"/>
    <s v="Certificate expiration causing downtime"/>
    <s v="No automated certificate expiry monitoring system (Case Study §4.4)."/>
    <x v="2"/>
    <x v="5"/>
    <s v="None identified; no automated certificate lifecycle tool (Case Study §4.4)."/>
    <n v="2"/>
    <s v="Not independently specified in Risk-Assessment-Report.md; derived as a factor of the documented total Risk Score (RT1 1-5 scale)."/>
    <n v="4"/>
    <s v="Not independently specified in Risk-Assessment-Report.md; derived as a factor of the documented total Risk Score (RT1 1-5 scale)."/>
    <n v="8"/>
    <x v="1"/>
    <x v="0"/>
    <s v="Automated certificate lifecycle management (per Risk-Assessment-Report.md, Table 3 REF 6)."/>
    <s v="A.8.8 Management of technical vulnerabilities [weak fit per source document; not corrected here]"/>
    <s v="Not specified in case study"/>
    <x v="5"/>
    <s v="Not specified in case study"/>
    <s v="Not specified in case study"/>
    <s v="Not Started"/>
    <n v="2"/>
    <s v="Not assessed — pending completion of treatment actions (Risk-Assessment-Report.md states the treatment plan is a future step)."/>
    <n v="3"/>
    <s v="Not assessed — pending completion of treatment actions (Risk-Assessment-Report.md states the treatment plan is a future step)."/>
    <n v="6"/>
    <s v=" MEDIUM"/>
    <s v="Asset matched to IA-020."/>
  </r>
  <r>
    <n v="7"/>
    <s v="Software"/>
    <s v="Active Directory &amp; Privileged Accounts (SW-012 / IA-014)"/>
    <s v="Unauthorized access to sensitive folders"/>
    <s v="Legacy access not revoked; no periodic review; no PAM, manual admin passwords (Case Study §4.5, §3.2)."/>
    <x v="0"/>
    <x v="6"/>
    <s v="Active Directory identity management; no PAM solution (Case Study §3.2)."/>
    <n v="3"/>
    <s v="Not independently specified in Risk-Assessment-Report.md; derived as a factor of the documented total Risk Score (RT1 1-5 scale)."/>
    <n v="4"/>
    <s v="Not independently specified in Risk-Assessment-Report.md; derived as a factor of the documented total Risk Score (RT1 1-5 scale)."/>
    <n v="12"/>
    <x v="0"/>
    <x v="0"/>
    <s v="Periodic access reviews &amp; least privilege (per Risk-Assessment-Report.md, Table 3 REF 7)."/>
    <s v="A.5.18 Access rights"/>
    <s v="Not specified in case study"/>
    <x v="6"/>
    <s v="Not specified in case study"/>
    <s v="Not specified in case study"/>
    <s v="Not Started"/>
    <n v="2"/>
    <s v="Not assessed — pending completion of treatment actions (Risk-Assessment-Report.md states the treatment plan is a future step)."/>
    <n v="3"/>
    <s v="Not assessed — pending completion of treatment actions (Risk-Assessment-Report.md states the treatment plan is a future step)."/>
    <n v="6"/>
    <s v=" MEDIUM"/>
    <s v="Asset matched to SW-012, IA-014. SCOPE CAVEAT: references 'HR folders' excluded from Phase 1 per ISMS-Scope.md — unresolved conflict flagged."/>
  </r>
  <r>
    <n v="8"/>
    <s v="Software"/>
    <s v="AWS Cloud Integration Workloads (SW-024 / SV-002)"/>
    <s v="Cloud misconfiguration and data leak"/>
    <s v="Partner cloud/third-party developers not fully vetted or continuously monitored (RA §3 narrative)."/>
    <x v="0"/>
    <x v="7"/>
    <s v="None identified; supplier/cloud vetting process not confirmed."/>
    <n v="3"/>
    <s v="Not independently specified in Risk-Assessment-Report.md; derived as a factor of the documented total Risk Score (RT1 1-5 scale)."/>
    <n v="4"/>
    <s v="Not independently specified in Risk-Assessment-Report.md; derived as a factor of the documented total Risk Score (RT1 1-5 scale)."/>
    <n v="12"/>
    <x v="0"/>
    <x v="0"/>
    <s v="Cloud Security Posture Management (per Risk-Assessment-Report.md, Table 3 REF 8)."/>
    <s v="A.5.19 Information security in supplier relationships"/>
    <s v="Not specified in case study"/>
    <x v="7"/>
    <s v="Not specified in case study"/>
    <s v="Not specified in case study"/>
    <s v="Not Started"/>
    <n v="2"/>
    <s v="Not assessed — pending completion of treatment actions (Risk-Assessment-Report.md states the treatment plan is a future step)."/>
    <n v="2"/>
    <s v="Not assessed — pending completion of treatment actions (Risk-Assessment-Report.md states the treatment plan is a future step)."/>
    <n v="4"/>
    <s v=" LOW"/>
    <s v="Asset matched to SW-024, SV-002."/>
  </r>
  <r>
    <n v="9"/>
    <s v="Hardware"/>
    <s v="Phase 1 Employee Laptops (HW-012)"/>
    <s v="Loss of unencrypted mobile hardware"/>
    <s v="Full-disk encryption not enabled on all devices at time of loss (Case Study §4.3)."/>
    <x v="0"/>
    <x v="8"/>
    <s v="Trend Micro endpoint protection; encryption not consistently enabled (Case Study §3.2, §4.3)."/>
    <n v="3"/>
    <s v="Not independently specified in Risk-Assessment-Report.md; derived as a factor of the documented total Risk Score (RT1 1-5 scale)."/>
    <n v="4"/>
    <s v="Not independently specified in Risk-Assessment-Report.md; derived as a factor of the documented total Risk Score (RT1 1-5 scale)."/>
    <n v="12"/>
    <x v="0"/>
    <x v="0"/>
    <s v="Mandatory endpoint encryption &amp; device tracking (per Risk-Assessment-Report.md, Table 3 REF 9)."/>
    <s v="A.8.1 User endpoint devices"/>
    <s v="Not specified in case study"/>
    <x v="8"/>
    <s v="Not specified in case study"/>
    <s v="Not specified in case study"/>
    <s v="Not Started"/>
    <n v="2"/>
    <s v="Not assessed — pending completion of treatment actions (Risk-Assessment-Report.md states the treatment plan is a future step)."/>
    <n v="3"/>
    <s v="Not assessed — pending completion of treatment actions (Risk-Assessment-Report.md states the treatment plan is a future step)."/>
    <n v="6"/>
    <s v=" MEDIUM"/>
    <s v="Asset matched exactly to HW-012."/>
  </r>
  <r>
    <n v="10"/>
    <s v="Information"/>
    <s v="Security &amp; Event Logs — Syslog / SOC (IA-015 / SW-014)"/>
    <s v="Failure to detect security anomalies"/>
    <s v="No SIEM; logs analysed manually (Case Study §3.2; ISMS-Scope.md §3.1)."/>
    <x v="1"/>
    <x v="9"/>
    <s v="Centralized Syslog collection; manual analysis only (Case Study §3.2)."/>
    <n v="2"/>
    <s v="Not independently specified in Risk-Assessment-Report.md; derived as a factor of the documented total Risk Score (RT1 1-5 scale)."/>
    <n v="4"/>
    <s v="Not independently specified in Risk-Assessment-Report.md; derived as a factor of the documented total Risk Score (RT1 1-5 scale)."/>
    <n v="8"/>
    <x v="1"/>
    <x v="0"/>
    <s v="Centralized log monitoring and SIEM enhancement (per Risk-Assessment-Report.md, Table 3 REF 10)."/>
    <s v="A.8.16 Monitoring activities"/>
    <s v="Not specified in case study"/>
    <x v="9"/>
    <s v="Not specified in case study"/>
    <s v="Not specified in case study"/>
    <s v="Not Started"/>
    <n v="2"/>
    <s v="Not assessed — pending completion of treatment actions (Risk-Assessment-Report.md states the treatment plan is a future step)."/>
    <n v="3"/>
    <s v="Not assessed — pending completion of treatment actions (Risk-Assessment-Report.md states the treatment plan is a future step)."/>
    <n v="6"/>
    <s v=" MEDIUM"/>
    <s v="Asset matched to IA-015, SW-01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r>
  <r>
    <x v="1"/>
    <n v="3"/>
  </r>
  <r>
    <x v="2"/>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reTreatmentRisks" cacheId="3" applyNumberFormats="0" applyBorderFormats="0" applyFontFormats="0" applyPatternFormats="0" applyAlignmentFormats="0" applyWidthHeightFormats="1" dataCaption="Values" updatedVersion="8" minRefreshableVersion="3" showDrill="0" useAutoFormatting="1" rowGrandTotals="0" colGrandTotals="0" itemPrintTitles="1" createdVersion="6" indent="0" compact="0" compactData="0" multipleFieldFilters="0" chartFormat="8">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re-treatment " fld="1" baseField="0" baseItem="0"/>
  </dataFields>
  <formats count="6">
    <format dxfId="110">
      <pivotArea field="0" type="button" dataOnly="0" labelOnly="1" outline="0" axis="axisRow" fieldPosition="0"/>
    </format>
    <format dxfId="109">
      <pivotArea dataOnly="0" labelOnly="1" outline="0" axis="axisValues" fieldPosition="0"/>
    </format>
    <format dxfId="108">
      <pivotArea field="0" type="button" dataOnly="0" labelOnly="1" outline="0" axis="axisRow" fieldPosition="0"/>
    </format>
    <format dxfId="107">
      <pivotArea dataOnly="0" labelOnly="1" outline="0" axis="axisValues" fieldPosition="0"/>
    </format>
    <format dxfId="106">
      <pivotArea field="0" type="button" dataOnly="0" labelOnly="1" outline="0" axis="axisRow" fieldPosition="0"/>
    </format>
    <format dxfId="105">
      <pivotArea dataOnly="0" labelOnly="1" outline="0" axis="axisValues"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200-000001000000}" name="PreTreatmentRisksByOwner" cacheId="2" applyNumberFormats="0" applyBorderFormats="0" applyFontFormats="0" applyPatternFormats="0" applyAlignmentFormats="0" applyWidthHeightFormats="1" dataCaption="Values" updatedVersion="8" minRefreshableVersion="3" showDrill="0" useAutoFormatting="1" rowGrandTotals="0" colGrandTotals="0" itemPrintTitles="1" createdVersion="6" indent="0" compact="0" compactData="0" multipleFieldFilters="0" chartFormat="7">
  <location ref="B6:D16" firstHeaderRow="1" firstDataRow="1" firstDataCol="2"/>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Row" compact="0" outline="0" showAll="0" defaultSubtotal="0">
      <items count="10">
        <item x="2"/>
        <item x="0"/>
        <item x="1"/>
        <item x="3"/>
        <item x="4"/>
        <item x="5"/>
        <item x="6"/>
        <item x="7"/>
        <item x="8"/>
        <item x="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2">
        <item x="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13"/>
    <field x="6"/>
  </rowFields>
  <rowItems count="10">
    <i>
      <x/>
      <x/>
    </i>
    <i r="1">
      <x v="1"/>
    </i>
    <i r="1">
      <x v="2"/>
    </i>
    <i r="1">
      <x v="3"/>
    </i>
    <i r="1">
      <x v="6"/>
    </i>
    <i r="1">
      <x v="7"/>
    </i>
    <i r="1">
      <x v="8"/>
    </i>
    <i>
      <x v="1"/>
      <x v="4"/>
    </i>
    <i r="1">
      <x v="5"/>
    </i>
    <i r="1">
      <x v="9"/>
    </i>
  </rowItems>
  <colItems count="1">
    <i/>
  </colItems>
  <dataFields count="1">
    <dataField name="Risk Level " fld="13" subtotal="count" baseField="0" baseItem="0"/>
  </dataFields>
  <formats count="6">
    <format dxfId="102">
      <pivotArea field="13" type="button" dataOnly="0" labelOnly="1" outline="0" axis="axisRow" fieldPosition="0"/>
    </format>
    <format dxfId="101">
      <pivotArea field="6" type="button" dataOnly="0" labelOnly="1" outline="0" axis="axisRow" fieldPosition="1"/>
    </format>
    <format dxfId="100">
      <pivotArea dataOnly="0" labelOnly="1" outline="0" axis="axisValues" fieldPosition="0"/>
    </format>
    <format dxfId="99">
      <pivotArea field="13" type="button" dataOnly="0" labelOnly="1" outline="0" axis="axisRow" fieldPosition="0"/>
    </format>
    <format dxfId="98">
      <pivotArea field="6" type="button" dataOnly="0" labelOnly="1" outline="0" axis="axisRow" fieldPosition="1"/>
    </format>
    <format dxfId="97">
      <pivotArea dataOnly="0" labelOnly="1" outline="0" axis="axisValues" fieldPosition="0"/>
    </format>
  </formats>
  <chartFormats count="4">
    <chartFormat chart="6" format="50" series="1">
      <pivotArea type="data" outline="0" fieldPosition="0">
        <references count="1">
          <reference field="4294967294" count="1" selected="0">
            <x v="0"/>
          </reference>
        </references>
      </pivotArea>
    </chartFormat>
    <chartFormat chart="6" format="59">
      <pivotArea type="data" outline="0" fieldPosition="0">
        <references count="1">
          <reference field="4294967294" count="1" selected="0">
            <x v="0"/>
          </reference>
        </references>
      </pivotArea>
    </chartFormat>
    <chartFormat chart="6" format="62">
      <pivotArea type="data" outline="0" fieldPosition="0">
        <references count="3">
          <reference field="4294967294" count="1" selected="0">
            <x v="0"/>
          </reference>
          <reference field="6" count="1" selected="0">
            <x v="0"/>
          </reference>
          <reference field="13" count="1" selected="0">
            <x v="0"/>
          </reference>
        </references>
      </pivotArea>
    </chartFormat>
    <chartFormat chart="6" format="66">
      <pivotArea type="data" outline="0" fieldPosition="0">
        <references count="3">
          <reference field="4294967294" count="1" selected="0">
            <x v="0"/>
          </reference>
          <reference field="6" count="1" selected="0">
            <x v="0"/>
          </reference>
          <reference field="1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200-000002000000}" name="PostTreatmentRisks" cacheId="1"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4">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ost-treatment " fld="1" baseField="0" baseItem="0"/>
  </dataFields>
  <formats count="4">
    <format dxfId="96">
      <pivotArea field="0" type="button" dataOnly="0" labelOnly="1" outline="0" axis="axisRow" fieldPosition="0"/>
    </format>
    <format dxfId="95">
      <pivotArea dataOnly="0" labelOnly="1" outline="0" axis="axisValues" fieldPosition="0"/>
    </format>
    <format dxfId="94">
      <pivotArea field="0" type="button" dataOnly="0" labelOnly="1" outline="0" axis="axisRow" fieldPosition="0"/>
    </format>
    <format dxfId="93">
      <pivotArea dataOnly="0" labelOnly="1" outline="0" axis="axisValues"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200-000003000000}" name="RisksByRiskLevelPre&amp;PostTreatment"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3">
  <location ref="B12:D16" firstHeaderRow="1" firstDataRow="2" firstDataCol="1"/>
  <pivotFields count="3">
    <pivotField axis="axisRow" compact="0" outline="0" showAll="0" defaultSubtotal="0">
      <items count="3">
        <item x="0"/>
        <item x="1"/>
        <item x="2"/>
      </items>
    </pivotField>
    <pivotField dataField="1" compact="0" outline="0" showAll="0" defaultSubtotal="0"/>
    <pivotField dataField="1" compact="0" outline="0" showAll="0" defaultSubtotal="0"/>
  </pivotFields>
  <rowFields count="1">
    <field x="0"/>
  </rowFields>
  <rowItems count="3">
    <i>
      <x/>
    </i>
    <i>
      <x v="1"/>
    </i>
    <i>
      <x v="2"/>
    </i>
  </rowItems>
  <colFields count="1">
    <field x="-2"/>
  </colFields>
  <colItems count="2">
    <i>
      <x/>
    </i>
    <i i="1">
      <x v="1"/>
    </i>
  </colItems>
  <dataFields count="2">
    <dataField name="Pre-treatment " fld="1" baseField="0" baseItem="0"/>
    <dataField name="Post-treatment " fld="2" baseField="0" baseItem="0"/>
  </dataFields>
  <formats count="4">
    <format dxfId="90">
      <pivotArea field="0" type="button" dataOnly="0" labelOnly="1" outline="0" axis="axisRow" fieldPosition="0"/>
    </format>
    <format dxfId="89">
      <pivotArea dataOnly="0" labelOnly="1" outline="0" fieldPosition="0">
        <references count="1">
          <reference field="4294967294" count="2">
            <x v="0"/>
            <x v="1"/>
          </reference>
        </references>
      </pivotArea>
    </format>
    <format dxfId="88">
      <pivotArea field="0" type="button" dataOnly="0" labelOnly="1" outline="0" axis="axisRow" fieldPosition="0"/>
    </format>
    <format dxfId="87">
      <pivotArea dataOnly="0" labelOnly="1" outline="0" fieldPosition="0">
        <references count="1">
          <reference field="4294967294" count="2">
            <x v="0"/>
            <x v="1"/>
          </reference>
        </references>
      </pivotArea>
    </format>
  </format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1200-000004000000}" name="RisksByTreatmentOption" cacheId="2"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3">
  <location ref="B6:C7" firstHeaderRow="1" firstDataRow="1" firstDataCol="1"/>
  <pivotFields count="29">
    <pivotField compact="0" outline="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4"/>
  </rowFields>
  <rowItems count="1">
    <i>
      <x/>
    </i>
  </rowItems>
  <colItems count="1">
    <i/>
  </colItems>
  <dataFields count="1">
    <dataField name="Count of Asset Group" fld="1" subtotal="count" baseField="0" baseItem="0"/>
  </dataFields>
  <formats count="4">
    <format dxfId="83">
      <pivotArea field="14" type="button" dataOnly="0" labelOnly="1" outline="0" axis="axisRow" fieldPosition="0"/>
    </format>
    <format dxfId="82">
      <pivotArea dataOnly="0" labelOnly="1" outline="0" axis="axisValues" fieldPosition="0"/>
    </format>
    <format dxfId="81">
      <pivotArea field="14" type="button" dataOnly="0" labelOnly="1" outline="0" axis="axisRow" fieldPosition="0"/>
    </format>
    <format dxfId="80">
      <pivotArea dataOnly="0" labelOnly="1" outline="0" axis="axisValues" fieldPosition="0"/>
    </format>
  </formats>
  <chartFormats count="2">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1200-000005000000}" name="TreatmentCosts" cacheId="2"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6">
  <location ref="B6:C8" firstHeaderRow="1" firstDataRow="1" firstDataCol="1"/>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
        <item x="1"/>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3"/>
  </rowFields>
  <rowItems count="2">
    <i>
      <x/>
    </i>
    <i>
      <x v="1"/>
    </i>
  </rowItems>
  <colItems count="1">
    <i/>
  </colItems>
  <dataFields count="1">
    <dataField name="Sum of Treatment Cost" fld="17" baseField="11" baseItem="0" numFmtId="3"/>
  </dataFields>
  <formats count="5">
    <format dxfId="79">
      <pivotArea field="13" type="button" dataOnly="0" labelOnly="1" outline="0" axis="axisRow" fieldPosition="0"/>
    </format>
    <format dxfId="78">
      <pivotArea dataOnly="0" labelOnly="1" outline="0" axis="axisValues" fieldPosition="0"/>
    </format>
    <format dxfId="77">
      <pivotArea field="13" type="button" dataOnly="0" labelOnly="1" outline="0" axis="axisRow" fieldPosition="0"/>
    </format>
    <format dxfId="76">
      <pivotArea dataOnly="0" labelOnly="1" outline="0" axis="axisValues" fieldPosition="0"/>
    </format>
    <format dxfId="75">
      <pivotArea outline="0" fieldPosition="0">
        <references count="1">
          <reference field="4294967294" count="1">
            <x v="0"/>
          </reference>
        </references>
      </pivotArea>
    </format>
  </formats>
  <chartFormats count="2">
    <chartFormat chart="5" format="2"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1200-000006000000}" name="TreatmentActionOwner" cacheId="2"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6">
  <location ref="B6:D17" firstHeaderRow="1" firstDataRow="2" firstDataCol="1"/>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0">
        <item x="2"/>
        <item x="0"/>
        <item x="1"/>
        <item x="3"/>
        <item x="4"/>
        <item x="5"/>
        <item x="6"/>
        <item x="7"/>
        <item x="8"/>
        <item x="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8"/>
  </rowFields>
  <rowItems count="10">
    <i>
      <x/>
    </i>
    <i>
      <x v="1"/>
    </i>
    <i>
      <x v="2"/>
    </i>
    <i>
      <x v="3"/>
    </i>
    <i>
      <x v="4"/>
    </i>
    <i>
      <x v="5"/>
    </i>
    <i>
      <x v="6"/>
    </i>
    <i>
      <x v="7"/>
    </i>
    <i>
      <x v="8"/>
    </i>
    <i>
      <x v="9"/>
    </i>
  </rowItems>
  <colFields count="1">
    <field x="13"/>
  </colFields>
  <colItems count="2">
    <i>
      <x/>
    </i>
    <i>
      <x v="1"/>
    </i>
  </colItems>
  <dataFields count="1">
    <dataField name="Count of Treatment Action Owner" fld="18" subtotal="count" baseField="0" baseItem="0"/>
  </dataFields>
  <formats count="10">
    <format dxfId="74">
      <pivotArea type="origin" dataOnly="0" labelOnly="1" outline="0" fieldPosition="0"/>
    </format>
    <format dxfId="73">
      <pivotArea field="13" type="button" dataOnly="0" labelOnly="1" outline="0" axis="axisCol" fieldPosition="0"/>
    </format>
    <format dxfId="72">
      <pivotArea type="topRight" dataOnly="0" labelOnly="1" outline="0" fieldPosition="0"/>
    </format>
    <format dxfId="71">
      <pivotArea field="18" type="button" dataOnly="0" labelOnly="1" outline="0" axis="axisRow" fieldPosition="0"/>
    </format>
    <format dxfId="70">
      <pivotArea dataOnly="0" labelOnly="1" outline="0" fieldPosition="0">
        <references count="1">
          <reference field="13" count="0"/>
        </references>
      </pivotArea>
    </format>
    <format dxfId="69">
      <pivotArea type="origin" dataOnly="0" labelOnly="1" outline="0" fieldPosition="0"/>
    </format>
    <format dxfId="68">
      <pivotArea field="13" type="button" dataOnly="0" labelOnly="1" outline="0" axis="axisCol" fieldPosition="0"/>
    </format>
    <format dxfId="67">
      <pivotArea type="topRight" dataOnly="0" labelOnly="1" outline="0" fieldPosition="0"/>
    </format>
    <format dxfId="66">
      <pivotArea field="18" type="button" dataOnly="0" labelOnly="1" outline="0" axis="axisRow" fieldPosition="0"/>
    </format>
    <format dxfId="65">
      <pivotArea dataOnly="0" labelOnly="1" outline="0" fieldPosition="0">
        <references count="1">
          <reference field="13" count="0"/>
        </references>
      </pivotArea>
    </format>
  </formats>
  <chartFormats count="3">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2">
          <reference field="4294967294" count="1" selected="0">
            <x v="0"/>
          </reference>
          <reference field="13" count="1" selected="0">
            <x v="0"/>
          </reference>
        </references>
      </pivotArea>
    </chartFormat>
    <chartFormat chart="5" format="1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1200-000009000000}" name="PivotTable19"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48:B51"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Sum of Treatment Cost" fld="17" baseField="11" baseItem="0"/>
  </dataFields>
  <formats count="10">
    <format dxfId="15">
      <pivotArea field="13" type="button" dataOnly="0" labelOnly="1" outline="0" axis="axisRow" fieldPosition="0"/>
    </format>
    <format dxfId="14">
      <pivotArea dataOnly="0" labelOnly="1" outline="0" axis="axisValues" fieldPosition="0"/>
    </format>
    <format dxfId="13">
      <pivotArea field="13" type="button" dataOnly="0" labelOnly="1" outline="0" axis="axisRow" fieldPosition="0"/>
    </format>
    <format dxfId="12">
      <pivotArea dataOnly="0" labelOnly="1" outline="0" axis="axisValues" fieldPosition="0"/>
    </format>
    <format dxfId="11">
      <pivotArea dataOnly="0" grandRow="1" fieldPosition="0"/>
    </format>
    <format dxfId="10">
      <pivotArea dataOnly="0" grandRow="1" fieldPosition="0"/>
    </format>
    <format dxfId="9">
      <pivotArea field="13" type="button" dataOnly="0" labelOnly="1" outline="0" axis="axisRow" fieldPosition="0"/>
    </format>
    <format dxfId="8">
      <pivotArea dataOnly="0" labelOnly="1" outline="0" axis="axisValues" fieldPosition="0"/>
    </format>
    <format dxfId="7">
      <pivotArea grandRow="1" outline="0" collapsedLevelsAreSubtotals="1" fieldPosition="0"/>
    </format>
    <format dxfId="6">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1200-000008000000}" name="PivotTable16"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5:D10" firstHeaderRow="1" firstDataRow="2" firstDataCol="1"/>
  <pivotFields count="29">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13"/>
  </colFields>
  <colItems count="3">
    <i>
      <x/>
    </i>
    <i>
      <x v="1"/>
    </i>
    <i t="grand">
      <x/>
    </i>
  </colItems>
  <dataFields count="1">
    <dataField name="Count of Risk Level" fld="13" subtotal="count" baseField="0" baseItem="0"/>
  </dataFields>
  <formats count="16">
    <format dxfId="31">
      <pivotArea type="origin" dataOnly="0" labelOnly="1" outline="0" fieldPosition="0"/>
    </format>
    <format dxfId="30">
      <pivotArea field="13" type="button" dataOnly="0" labelOnly="1" outline="0" axis="axisCol" fieldPosition="0"/>
    </format>
    <format dxfId="29">
      <pivotArea type="topRight" dataOnly="0" labelOnly="1" outline="0" fieldPosition="0"/>
    </format>
    <format dxfId="28">
      <pivotArea field="5" type="button" dataOnly="0" labelOnly="1" outline="0" axis="axisRow" fieldPosition="0"/>
    </format>
    <format dxfId="27">
      <pivotArea dataOnly="0" labelOnly="1" fieldPosition="0">
        <references count="1">
          <reference field="13" count="0"/>
        </references>
      </pivotArea>
    </format>
    <format dxfId="26">
      <pivotArea dataOnly="0" labelOnly="1" grandCol="1" outline="0" fieldPosition="0"/>
    </format>
    <format dxfId="25">
      <pivotArea type="origin" dataOnly="0" labelOnly="1" outline="0" fieldPosition="0"/>
    </format>
    <format dxfId="24">
      <pivotArea field="13" type="button" dataOnly="0" labelOnly="1" outline="0" axis="axisCol" fieldPosition="0"/>
    </format>
    <format dxfId="23">
      <pivotArea type="topRight" dataOnly="0" labelOnly="1" outline="0" fieldPosition="0"/>
    </format>
    <format dxfId="22">
      <pivotArea field="5" type="button" dataOnly="0" labelOnly="1" outline="0" axis="axisRow" fieldPosition="0"/>
    </format>
    <format dxfId="21">
      <pivotArea dataOnly="0" labelOnly="1" fieldPosition="0">
        <references count="1">
          <reference field="13" count="0"/>
        </references>
      </pivotArea>
    </format>
    <format dxfId="20">
      <pivotArea dataOnly="0" labelOnly="1" grandCol="1" outline="0" fieldPosition="0"/>
    </format>
    <format dxfId="19">
      <pivotArea outline="0" collapsedLevelsAreSubtotals="1" fieldPosition="0"/>
    </format>
    <format dxfId="18">
      <pivotArea dataOnly="0" grandRow="1" fieldPosition="0"/>
    </format>
    <format dxfId="17">
      <pivotArea dataOnly="0" grandRow="1" fieldPosition="0"/>
    </format>
    <format dxfId="16">
      <pivotArea type="origin" dataOnly="0" labelOnly="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1200-000007000000}" name="PivotTable17"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17:D29" firstHeaderRow="1" firstDataRow="2" firstDataCol="1"/>
  <pivotFields count="29">
    <pivotField showAll="0"/>
    <pivotField showAll="0"/>
    <pivotField showAll="0"/>
    <pivotField showAll="0"/>
    <pivotField showAll="0"/>
    <pivotField showAll="0"/>
    <pivotField axis="axisRow" showAll="0">
      <items count="11">
        <item x="2"/>
        <item x="0"/>
        <item x="1"/>
        <item x="3"/>
        <item x="4"/>
        <item x="5"/>
        <item x="6"/>
        <item x="7"/>
        <item x="8"/>
        <item x="9"/>
        <item t="default"/>
      </items>
    </pivotField>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13"/>
  </colFields>
  <colItems count="3">
    <i>
      <x/>
    </i>
    <i>
      <x v="1"/>
    </i>
    <i t="grand">
      <x/>
    </i>
  </colItems>
  <dataFields count="1">
    <dataField name="Count of Risk Level" fld="13" subtotal="count" baseField="0" baseItem="0"/>
  </dataFields>
  <formats count="16">
    <format dxfId="47">
      <pivotArea type="origin" dataOnly="0" labelOnly="1" outline="0" fieldPosition="0"/>
    </format>
    <format dxfId="46">
      <pivotArea field="13" type="button" dataOnly="0" labelOnly="1" outline="0" axis="axisCol" fieldPosition="0"/>
    </format>
    <format dxfId="45">
      <pivotArea type="topRight" dataOnly="0" labelOnly="1" outline="0" fieldPosition="0"/>
    </format>
    <format dxfId="44">
      <pivotArea field="6" type="button" dataOnly="0" labelOnly="1" outline="0" axis="axisRow" fieldPosition="0"/>
    </format>
    <format dxfId="43">
      <pivotArea dataOnly="0" labelOnly="1" fieldPosition="0">
        <references count="1">
          <reference field="13" count="0"/>
        </references>
      </pivotArea>
    </format>
    <format dxfId="42">
      <pivotArea dataOnly="0" labelOnly="1" grandCol="1" outline="0" fieldPosition="0"/>
    </format>
    <format dxfId="41">
      <pivotArea grandRow="1" outline="0" collapsedLevelsAreSubtotals="1" fieldPosition="0"/>
    </format>
    <format dxfId="40">
      <pivotArea dataOnly="0" labelOnly="1" grandRow="1" outline="0" fieldPosition="0"/>
    </format>
    <format dxfId="39">
      <pivotArea type="origin" dataOnly="0" labelOnly="1" outline="0" fieldPosition="0"/>
    </format>
    <format dxfId="38">
      <pivotArea field="13" type="button" dataOnly="0" labelOnly="1" outline="0" axis="axisCol" fieldPosition="0"/>
    </format>
    <format dxfId="37">
      <pivotArea type="topRight" dataOnly="0" labelOnly="1" outline="0" fieldPosition="0"/>
    </format>
    <format dxfId="36">
      <pivotArea field="6" type="button" dataOnly="0" labelOnly="1" outline="0" axis="axisRow" fieldPosition="0"/>
    </format>
    <format dxfId="35">
      <pivotArea dataOnly="0" labelOnly="1" fieldPosition="0">
        <references count="1">
          <reference field="13" count="0"/>
        </references>
      </pivotArea>
    </format>
    <format dxfId="34">
      <pivotArea dataOnly="0" labelOnly="1" grandCol="1" outline="0" fieldPosition="0"/>
    </format>
    <format dxfId="33">
      <pivotArea grandRow="1" outline="0" collapsedLevelsAreSubtotals="1" fieldPosition="0"/>
    </format>
    <format dxfId="32">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200-00000A000000}" name="PivotTable18"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2:A34"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2">
    <i>
      <x/>
    </i>
    <i t="grand">
      <x/>
    </i>
  </rowItems>
  <colItems count="1">
    <i/>
  </colItems>
  <formats count="9">
    <format dxfId="56">
      <pivotArea dataOnly="0" labelOnly="1" outline="0" axis="axisValues" fieldPosition="0"/>
    </format>
    <format dxfId="55">
      <pivotArea field="14" type="button" dataOnly="0" labelOnly="1" outline="0" axis="axisRow" fieldPosition="0"/>
    </format>
    <format dxfId="54">
      <pivotArea dataOnly="0" labelOnly="1" outline="0" axis="axisValues" fieldPosition="0"/>
    </format>
    <format dxfId="53">
      <pivotArea field="14" type="button" dataOnly="0" labelOnly="1" outline="0" axis="axisRow" fieldPosition="0"/>
    </format>
    <format dxfId="52">
      <pivotArea dataOnly="0" labelOnly="1" outline="0" axis="axisValues" fieldPosition="0"/>
    </format>
    <format dxfId="51">
      <pivotArea grandRow="1" outline="0" collapsedLevelsAreSubtotals="1" fieldPosition="0"/>
    </format>
    <format dxfId="50">
      <pivotArea dataOnly="0" labelOnly="1" grandRow="1" outline="0" fieldPosition="0"/>
    </format>
    <format dxfId="49">
      <pivotArea grandRow="1" outline="0" collapsedLevelsAreSubtotals="1" fieldPosition="0"/>
    </format>
    <format dxfId="48">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iskAssessment" displayName="RiskAssessment" ref="B13:AD23" totalsRowShown="0" headerRowDxfId="141" dataDxfId="140">
  <autoFilter ref="B13:AD2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00000000-0010-0000-0000-000001000000}" name="Ref" dataDxfId="139"/>
    <tableColumn id="2" xr3:uid="{00000000-0010-0000-0000-000002000000}" name="Asset Group" dataDxfId="138"/>
    <tableColumn id="14" xr3:uid="{00000000-0010-0000-0000-00000E000000}" name="Asset" dataDxfId="137"/>
    <tableColumn id="18" xr3:uid="{00000000-0010-0000-0000-000012000000}" name="Threat" dataDxfId="136"/>
    <tableColumn id="19" xr3:uid="{00000000-0010-0000-0000-000013000000}" name="Vulnerability" dataDxfId="135"/>
    <tableColumn id="5" xr3:uid="{00000000-0010-0000-0000-000005000000}" name="Risk Type" dataDxfId="134"/>
    <tableColumn id="6" xr3:uid="{00000000-0010-0000-0000-000006000000}" name="Risk Owner" dataDxfId="133"/>
    <tableColumn id="7" xr3:uid="{00000000-0010-0000-0000-000007000000}" name="Existing Controls" dataDxfId="132"/>
    <tableColumn id="8" xr3:uid="{00000000-0010-0000-0000-000008000000}" name="Likelihood" dataDxfId="131"/>
    <tableColumn id="9" xr3:uid="{00000000-0010-0000-0000-000009000000}" name="Likelihood Rationale" dataDxfId="130"/>
    <tableColumn id="10" xr3:uid="{00000000-0010-0000-0000-00000A000000}" name="Impact" dataDxfId="129"/>
    <tableColumn id="11" xr3:uid="{00000000-0010-0000-0000-00000B000000}" name="Impact Rationale" dataDxfId="128"/>
    <tableColumn id="12" xr3:uid="{00000000-0010-0000-0000-00000C000000}" name="Risk Score" dataDxfId="127">
      <calculatedColumnFormula>IFERROR(RiskAssessment[[#This Row],[Likelihood]]*RiskAssessment[[#This Row],[Impact]],"Calculated")</calculatedColumnFormula>
    </tableColumn>
    <tableColumn id="26" xr3:uid="{00000000-0010-0000-0000-00001A000000}" name="Risk Level" dataDxfId="126">
      <calculatedColumnFormula>IF(N14="Calculated", "Calculated", IF(N14&gt;11, " HIGH",IF(N14&gt;4," MEDIUM"," LOW")))</calculatedColumnFormula>
    </tableColumn>
    <tableColumn id="25" xr3:uid="{00000000-0010-0000-0000-000019000000}" name="Treatment Option Chosen" dataDxfId="125"/>
    <tableColumn id="24" xr3:uid="{00000000-0010-0000-0000-000018000000}" name="Proposed Treatment Action" dataDxfId="124"/>
    <tableColumn id="13" xr3:uid="{00000000-0010-0000-0000-00000D000000}" name="Annex A/Control Reference" dataDxfId="123"/>
    <tableColumn id="3" xr3:uid="{00000000-0010-0000-0000-000003000000}" name="Treatment Cost" dataDxfId="122"/>
    <tableColumn id="4" xr3:uid="{00000000-0010-0000-0000-000004000000}" name="Treatment Action Owner" dataDxfId="121"/>
    <tableColumn id="15" xr3:uid="{00000000-0010-0000-0000-00000F000000}" name="Treatment Action Timescale" dataDxfId="120"/>
    <tableColumn id="17" xr3:uid="{00000000-0010-0000-0000-000011000000}" name="Treatment Action Progress" dataDxfId="119"/>
    <tableColumn id="16" xr3:uid="{00000000-0010-0000-0000-000010000000}" name="Treatment Action Status" dataDxfId="118"/>
    <tableColumn id="23" xr3:uid="{00000000-0010-0000-0000-000017000000}" name="Post-Treatment Likelihood" dataDxfId="117"/>
    <tableColumn id="22" xr3:uid="{00000000-0010-0000-0000-000016000000}" name="Post-Treatment Likelihood Rationale" dataDxfId="116"/>
    <tableColumn id="20" xr3:uid="{00000000-0010-0000-0000-000014000000}" name="Post- Treatment Impact" dataDxfId="115"/>
    <tableColumn id="34" xr3:uid="{00000000-0010-0000-0000-000022000000}" name="Post-Treatment Impact Rationale" dataDxfId="114"/>
    <tableColumn id="33" xr3:uid="{00000000-0010-0000-0000-000021000000}" name="Post-Treatment Risk Score" dataDxfId="113">
      <calculatedColumnFormula>IFERROR(RiskAssessment[[#This Row],[Post-Treatment Likelihood]]*RiskAssessment[[#This Row],[Post- Treatment Impact]],"Calculated")</calculatedColumnFormula>
    </tableColumn>
    <tableColumn id="32" xr3:uid="{00000000-0010-0000-0000-000020000000}" name="Post-Treatment Risk Level" dataDxfId="112">
      <calculatedColumnFormula>IF(AB14="Calculated", "Calculated", IF(AB14&gt;11, " HIGH",IF(AB14&gt;4," MEDIUM"," LOW")))</calculatedColumnFormula>
    </tableColumn>
    <tableColumn id="31" xr3:uid="{00000000-0010-0000-0000-00001F000000}" name="Comments" dataDxfId="111"/>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eTreatmentRisksByRiskLevel" displayName="PreTreatmentRisksByRiskLevel" ref="B6:C9" totalsRowShown="0" headerRowDxfId="104">
  <autoFilter ref="B6:C9" xr:uid="{00000000-0009-0000-0100-000002000000}"/>
  <tableColumns count="2">
    <tableColumn id="1" xr3:uid="{00000000-0010-0000-0100-000001000000}" name="Risk level"/>
    <tableColumn id="2" xr3:uid="{00000000-0010-0000-0100-000002000000}" name="Pre-treatment" dataDxfId="103"/>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isksByRiskLevelPreandPostTreatment10" displayName="RisksByRiskLevelPreandPostTreatment10" ref="B6:C9" totalsRowShown="0" headerRowDxfId="92">
  <autoFilter ref="B6:C9" xr:uid="{00000000-0009-0000-0100-000003000000}"/>
  <tableColumns count="2">
    <tableColumn id="1" xr3:uid="{00000000-0010-0000-0200-000001000000}" name="Risk level"/>
    <tableColumn id="3" xr3:uid="{00000000-0010-0000-0200-000003000000}" name="Post-treatment" dataDxfId="91"/>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eMitigationRisksByRiskLevel10" displayName="PreMitigationRisksByRiskLevel10" ref="B6:D9" totalsRowShown="0" headerRowDxfId="86">
  <autoFilter ref="B6:D9" xr:uid="{00000000-0009-0000-0100-000004000000}"/>
  <tableColumns count="3">
    <tableColumn id="1" xr3:uid="{00000000-0010-0000-0300-000001000000}" name="Risk level"/>
    <tableColumn id="2" xr3:uid="{00000000-0010-0000-0300-000002000000}" name="Pre-treatment" dataDxfId="85"/>
    <tableColumn id="3" xr3:uid="{00000000-0010-0000-0300-000003000000}" name="Post-treatment" dataDxfId="84"/>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OnetoFive" displayName="OnetoFive" ref="A3:A9" totalsRowShown="0" headerRowDxfId="64" dataDxfId="63">
  <autoFilter ref="A3:A9" xr:uid="{00000000-0009-0000-0100-000005000000}"/>
  <tableColumns count="1">
    <tableColumn id="1" xr3:uid="{00000000-0010-0000-0400-000001000000}" name="ONE TO FIVE" dataDxfId="62"/>
  </tableColumns>
  <tableStyleInfo name="TableStyleLight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Options" displayName="Options" ref="C3:C8" totalsRowShown="0" headerRowDxfId="61">
  <autoFilter ref="C3:C8" xr:uid="{00000000-0009-0000-0100-000006000000}"/>
  <tableColumns count="1">
    <tableColumn id="1" xr3:uid="{00000000-0010-0000-0500-000001000000}" name="OPTIONS"/>
  </tableColumns>
  <tableStyleInfo name="TableStyleLight2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5" displayName="Table5" ref="A12:A20" totalsRowShown="0" headerRowDxfId="60" dataDxfId="59">
  <autoFilter ref="A12:A20" xr:uid="{00000000-0009-0000-0100-000007000000}"/>
  <tableColumns count="1">
    <tableColumn id="1" xr3:uid="{00000000-0010-0000-0600-000001000000}" name="RISK TYPE" dataDxfId="58"/>
  </tableColumns>
  <tableStyleInfo name="TableStyleLight2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4" displayName="Table4" ref="C12:C17" totalsRowShown="0" headerRowDxfId="57">
  <autoFilter ref="C12:C17" xr:uid="{00000000-0009-0000-0100-000008000000}"/>
  <tableColumns count="1">
    <tableColumn id="1" xr3:uid="{00000000-0010-0000-0700-000001000000}" name="TREATMENT ACTION STATUS"/>
  </tableColumns>
  <tableStyleInfo name="TableStyleLight2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 displayName="Table1" ref="A41:C44" totalsRowShown="0">
  <autoFilter ref="A41:C44" xr:uid="{00000000-0009-0000-0100-000009000000}">
    <filterColumn colId="0" hiddenButton="1"/>
    <filterColumn colId="1" hiddenButton="1"/>
    <filterColumn colId="2" hiddenButton="1"/>
  </autoFilter>
  <tableColumns count="3">
    <tableColumn id="1" xr3:uid="{00000000-0010-0000-0800-000001000000}" name="Risk level"/>
    <tableColumn id="2" xr3:uid="{00000000-0010-0000-0800-000002000000}" name="Pre-Treatment" dataDxfId="5">
      <calculatedColumnFormula>COUNTIF(RiskAssessment[Risk Level],Table1[[#This Row],[Risk level]])</calculatedColumnFormula>
    </tableColumn>
    <tableColumn id="3" xr3:uid="{00000000-0010-0000-0800-000003000000}" name="Post-Treatment" dataDxfId="4">
      <calculatedColumnFormula>COUNTIF(RiskAssessment[Post-Treatment Risk Level],Table1[[#This Row],[Risk level]])</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 /><Relationship Id="rId2" Type="http://schemas.openxmlformats.org/officeDocument/2006/relationships/vmlDrawing" Target="../drawings/vmlDrawing1.vml" /><Relationship Id="rId1" Type="http://schemas.openxmlformats.org/officeDocument/2006/relationships/drawing" Target="../drawings/drawing2.xml" /><Relationship Id="rId4" Type="http://schemas.openxmlformats.org/officeDocument/2006/relationships/comments" Target="../comments1.xml"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 /></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 /><Relationship Id="rId1" Type="http://schemas.openxmlformats.org/officeDocument/2006/relationships/pivotTable" Target="../pivotTables/pivotTable1.xml" /></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 /></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 /><Relationship Id="rId1" Type="http://schemas.openxmlformats.org/officeDocument/2006/relationships/pivotTable" Target="../pivotTables/pivotTable3.xml" /></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 /><Relationship Id="rId1" Type="http://schemas.openxmlformats.org/officeDocument/2006/relationships/pivotTable" Target="../pivotTables/pivotTable4.xml" /></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 /></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 /></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 /></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 /></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 /></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 /></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 /></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 /></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 /></Relationships>
</file>

<file path=xl/worksheets/_rels/sheet17.xml.rels><?xml version="1.0" encoding="UTF-8" standalone="yes"?>
<Relationships xmlns="http://schemas.openxmlformats.org/package/2006/relationships"><Relationship Id="rId3" Type="http://schemas.openxmlformats.org/officeDocument/2006/relationships/table" Target="../tables/table7.xml" /><Relationship Id="rId2" Type="http://schemas.openxmlformats.org/officeDocument/2006/relationships/table" Target="../tables/table6.xml" /><Relationship Id="rId1" Type="http://schemas.openxmlformats.org/officeDocument/2006/relationships/table" Target="../tables/table5.xml" /><Relationship Id="rId4" Type="http://schemas.openxmlformats.org/officeDocument/2006/relationships/table" Target="../tables/table8.xml" /></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10.xml" /><Relationship Id="rId2" Type="http://schemas.openxmlformats.org/officeDocument/2006/relationships/pivotTable" Target="../pivotTables/pivotTable9.xml" /><Relationship Id="rId1" Type="http://schemas.openxmlformats.org/officeDocument/2006/relationships/pivotTable" Target="../pivotTables/pivotTable8.xml" /><Relationship Id="rId5" Type="http://schemas.openxmlformats.org/officeDocument/2006/relationships/table" Target="../tables/table9.xml" /><Relationship Id="rId4" Type="http://schemas.openxmlformats.org/officeDocument/2006/relationships/pivotTable" Target="../pivotTables/pivotTable1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0"/>
  <sheetViews>
    <sheetView showGridLines="0" workbookViewId="0">
      <selection activeCell="C20" sqref="C20"/>
    </sheetView>
  </sheetViews>
  <sheetFormatPr defaultColWidth="9.14453125" defaultRowHeight="15" x14ac:dyDescent="0.2"/>
  <cols>
    <col min="1" max="1" width="2.82421875" style="3" customWidth="1"/>
    <col min="2" max="2" width="25.55859375" style="3" customWidth="1"/>
    <col min="3" max="3" width="83.671875" style="3" customWidth="1"/>
    <col min="4" max="4" width="9.14453125" style="3" customWidth="1"/>
    <col min="5" max="16384" width="9.14453125" style="3"/>
  </cols>
  <sheetData>
    <row r="2" spans="2:3" x14ac:dyDescent="0.2">
      <c r="B2" s="4"/>
    </row>
    <row r="3" spans="2:3" x14ac:dyDescent="0.2">
      <c r="B3" s="4"/>
    </row>
    <row r="4" spans="2:3" x14ac:dyDescent="0.2">
      <c r="B4" s="4"/>
    </row>
    <row r="5" spans="2:3" x14ac:dyDescent="0.2">
      <c r="B5" s="4"/>
    </row>
    <row r="6" spans="2:3" x14ac:dyDescent="0.2">
      <c r="B6" s="4"/>
    </row>
    <row r="8" spans="2:3" ht="21" customHeight="1" x14ac:dyDescent="0.2">
      <c r="B8" s="10" t="s">
        <v>0</v>
      </c>
    </row>
    <row r="10" spans="2:3" ht="30" customHeight="1" x14ac:dyDescent="0.2">
      <c r="B10" s="30" t="s">
        <v>1</v>
      </c>
      <c r="C10" s="68" t="s">
        <v>2</v>
      </c>
    </row>
    <row r="11" spans="2:3" ht="30" customHeight="1" x14ac:dyDescent="0.2">
      <c r="B11" s="30" t="s">
        <v>3</v>
      </c>
      <c r="C11" s="68" t="s">
        <v>771</v>
      </c>
    </row>
    <row r="12" spans="2:3" ht="45" customHeight="1" x14ac:dyDescent="0.2">
      <c r="B12" s="30" t="s">
        <v>4</v>
      </c>
      <c r="C12" s="68" t="s">
        <v>775</v>
      </c>
    </row>
    <row r="13" spans="2:3" ht="60" customHeight="1" x14ac:dyDescent="0.2">
      <c r="B13" s="30" t="s">
        <v>5</v>
      </c>
      <c r="C13" s="68" t="s">
        <v>776</v>
      </c>
    </row>
    <row r="14" spans="2:3" ht="90" customHeight="1" x14ac:dyDescent="0.2">
      <c r="B14" s="30" t="s">
        <v>6</v>
      </c>
      <c r="C14" s="68" t="s">
        <v>777</v>
      </c>
    </row>
    <row r="15" spans="2:3" ht="30" customHeight="1" x14ac:dyDescent="0.2">
      <c r="B15" s="30" t="s">
        <v>7</v>
      </c>
      <c r="C15" s="68" t="s">
        <v>8</v>
      </c>
    </row>
    <row r="16" spans="2:3" ht="30" customHeight="1" x14ac:dyDescent="0.2">
      <c r="B16" s="30" t="s">
        <v>9</v>
      </c>
      <c r="C16" s="103">
        <v>46274</v>
      </c>
    </row>
    <row r="17" spans="2:3" ht="30" customHeight="1" x14ac:dyDescent="0.2">
      <c r="B17" s="30" t="s">
        <v>10</v>
      </c>
      <c r="C17" s="68" t="s">
        <v>774</v>
      </c>
    </row>
    <row r="18" spans="2:3" ht="60" customHeight="1" x14ac:dyDescent="0.2">
      <c r="B18" s="30" t="s">
        <v>11</v>
      </c>
      <c r="C18" s="68" t="s">
        <v>772</v>
      </c>
    </row>
    <row r="19" spans="2:3" ht="30" customHeight="1" x14ac:dyDescent="0.2">
      <c r="B19" s="30" t="s">
        <v>12</v>
      </c>
      <c r="C19" s="68" t="s">
        <v>773</v>
      </c>
    </row>
    <row r="20" spans="2:3" ht="30" customHeight="1" x14ac:dyDescent="0.2">
      <c r="B20" s="30" t="s">
        <v>13</v>
      </c>
      <c r="C20" s="102">
        <v>46276</v>
      </c>
    </row>
  </sheetData>
  <pageMargins left="0.70866141732283472" right="0.70866141732283472" top="0.74803149606299213" bottom="0.74803149606299213" header="0.31496062992125978" footer="0.31496062992125978"/>
  <pageSetup paperSize="9" orientation="portrait" horizontalDpi="1200" verticalDpi="1200"/>
  <headerFooter>
    <oddFooter>&amp;L&amp;D&amp;CPage &amp;P of &amp;N&amp;R[Insert classification]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B2:AO23"/>
  <sheetViews>
    <sheetView showGridLines="0" tabSelected="1" zoomScaleNormal="100" workbookViewId="0">
      <selection activeCell="C10" sqref="C10"/>
    </sheetView>
  </sheetViews>
  <sheetFormatPr defaultColWidth="9.14453125" defaultRowHeight="15" x14ac:dyDescent="0.2"/>
  <cols>
    <col min="1" max="1" width="2.82421875" style="11" customWidth="1"/>
    <col min="2" max="2" width="4.3046875" style="11" customWidth="1"/>
    <col min="3" max="3" width="15.87109375" style="11" customWidth="1"/>
    <col min="4" max="6" width="21.1171875" style="11" customWidth="1"/>
    <col min="7" max="7" width="10.0859375" style="11" customWidth="1"/>
    <col min="8" max="8" width="12.64453125" style="11" customWidth="1"/>
    <col min="9" max="9" width="15.06640625" style="11" customWidth="1"/>
    <col min="10" max="10" width="10.4921875" style="11" customWidth="1"/>
    <col min="11" max="11" width="18.29296875" style="11" customWidth="1"/>
    <col min="12" max="12" width="10.625" style="11" customWidth="1"/>
    <col min="13" max="13" width="18.29296875" style="11" customWidth="1"/>
    <col min="14" max="14" width="11.703125" style="11" customWidth="1"/>
    <col min="15" max="15" width="13.44921875" style="11" customWidth="1"/>
    <col min="16" max="16" width="11.703125" style="11" customWidth="1"/>
    <col min="17" max="17" width="17.08203125" style="11" customWidth="1"/>
    <col min="18" max="18" width="15.06640625" style="11" customWidth="1"/>
    <col min="19" max="19" width="12.375" style="11" customWidth="1"/>
    <col min="20" max="20" width="13.046875" style="11" customWidth="1"/>
    <col min="21" max="21" width="14.9296875" style="11" customWidth="1"/>
    <col min="22" max="22" width="11.8359375" style="11" customWidth="1"/>
    <col min="23" max="23" width="14.9296875" style="11" customWidth="1"/>
    <col min="24" max="24" width="11.296875" style="11" customWidth="1"/>
    <col min="25" max="25" width="12.5078125" style="11" customWidth="1"/>
    <col min="26" max="26" width="14.52734375" style="11" customWidth="1"/>
    <col min="27" max="27" width="10.89453125" style="11" customWidth="1"/>
    <col min="28" max="28" width="11.02734375" style="11" customWidth="1"/>
    <col min="29" max="29" width="11.56640625" style="11" customWidth="1"/>
    <col min="30" max="30" width="18.16015625" style="11" customWidth="1"/>
    <col min="31" max="31" width="9.14453125" style="11" customWidth="1"/>
    <col min="32" max="16384" width="9.14453125" style="11"/>
  </cols>
  <sheetData>
    <row r="2" spans="2:41" ht="15" customHeight="1" x14ac:dyDescent="0.2">
      <c r="D2" s="15"/>
      <c r="E2" s="15"/>
      <c r="F2" s="15"/>
      <c r="G2" s="16"/>
      <c r="H2" s="15"/>
      <c r="I2" s="15"/>
      <c r="K2" s="15"/>
      <c r="L2" s="15"/>
      <c r="M2" s="15"/>
      <c r="N2" s="15"/>
      <c r="O2" s="15"/>
      <c r="P2" s="15"/>
      <c r="Q2" s="15"/>
    </row>
    <row r="3" spans="2:41" x14ac:dyDescent="0.2">
      <c r="G3" s="17"/>
    </row>
    <row r="4" spans="2:41" x14ac:dyDescent="0.2">
      <c r="D4" s="15"/>
      <c r="E4" s="15"/>
      <c r="F4" s="15"/>
      <c r="H4" s="15"/>
      <c r="I4" s="15"/>
      <c r="J4" s="15"/>
      <c r="K4" s="15"/>
      <c r="L4" s="15"/>
      <c r="M4" s="15"/>
      <c r="N4" s="15"/>
      <c r="O4" s="15"/>
      <c r="P4" s="15"/>
      <c r="Q4" s="15"/>
    </row>
    <row r="5" spans="2:41" x14ac:dyDescent="0.2">
      <c r="D5" s="15"/>
      <c r="E5" s="15"/>
      <c r="F5" s="15"/>
      <c r="G5" s="17"/>
      <c r="H5" s="15"/>
      <c r="I5" s="15"/>
      <c r="J5" s="15"/>
      <c r="K5" s="15"/>
      <c r="L5" s="15"/>
      <c r="M5" s="15"/>
      <c r="N5" s="15"/>
      <c r="O5" s="15"/>
      <c r="P5" s="15"/>
      <c r="Q5" s="15"/>
    </row>
    <row r="6" spans="2:41" x14ac:dyDescent="0.2">
      <c r="D6" s="15"/>
      <c r="E6" s="15"/>
      <c r="F6" s="15"/>
      <c r="G6" s="17"/>
      <c r="H6" s="15"/>
      <c r="I6" s="15"/>
      <c r="J6" s="15"/>
      <c r="K6" s="15"/>
      <c r="L6" s="15"/>
      <c r="M6" s="15"/>
      <c r="N6" s="15"/>
      <c r="O6" s="15"/>
      <c r="P6" s="15"/>
      <c r="Q6" s="15"/>
    </row>
    <row r="7" spans="2:41" x14ac:dyDescent="0.2">
      <c r="D7" s="15"/>
      <c r="E7" s="15"/>
      <c r="F7" s="15"/>
      <c r="G7" s="17"/>
      <c r="H7" s="15"/>
      <c r="I7" s="15"/>
      <c r="J7" s="15"/>
      <c r="K7" s="15"/>
      <c r="L7" s="15"/>
      <c r="M7" s="15"/>
      <c r="N7" s="15"/>
      <c r="O7" s="15"/>
      <c r="P7" s="15"/>
      <c r="Q7" s="15"/>
    </row>
    <row r="8" spans="2:41" ht="21" customHeight="1" x14ac:dyDescent="0.2">
      <c r="B8" s="10" t="s">
        <v>14</v>
      </c>
      <c r="D8" s="15"/>
      <c r="E8" s="15"/>
      <c r="F8" s="15"/>
      <c r="G8" s="17"/>
      <c r="H8" s="15"/>
      <c r="I8" s="15"/>
      <c r="J8" s="15"/>
      <c r="K8" s="15"/>
      <c r="L8" s="15"/>
      <c r="M8" s="15"/>
      <c r="N8" s="15"/>
      <c r="O8" s="15"/>
      <c r="P8" s="15"/>
      <c r="Q8" s="15"/>
    </row>
    <row r="9" spans="2:41" x14ac:dyDescent="0.2">
      <c r="B9" s="96"/>
      <c r="C9" s="97"/>
      <c r="D9" s="98"/>
      <c r="E9" s="98"/>
      <c r="F9" s="98"/>
      <c r="G9" s="99"/>
      <c r="H9" s="15"/>
      <c r="I9" s="15"/>
      <c r="J9" s="15"/>
      <c r="K9" s="15"/>
      <c r="L9" s="15"/>
      <c r="M9" s="15"/>
      <c r="N9" s="15"/>
      <c r="O9" s="15"/>
      <c r="P9" s="15"/>
      <c r="Q9" s="15"/>
    </row>
    <row r="10" spans="2:41" ht="15" customHeight="1" x14ac:dyDescent="0.2">
      <c r="B10" s="100"/>
      <c r="C10" s="101"/>
      <c r="D10" s="101"/>
      <c r="E10" s="101"/>
      <c r="F10" s="101"/>
      <c r="G10" s="101"/>
      <c r="H10" s="12"/>
      <c r="I10" s="15"/>
      <c r="J10" s="15"/>
      <c r="K10" s="15"/>
      <c r="L10" s="15"/>
      <c r="M10" s="62"/>
      <c r="N10" s="63"/>
      <c r="O10" s="63"/>
      <c r="P10" s="15"/>
      <c r="Q10" s="15"/>
    </row>
    <row r="11" spans="2:41" ht="15" customHeight="1" x14ac:dyDescent="0.2">
      <c r="D11" s="15"/>
      <c r="E11" s="15"/>
      <c r="F11" s="15"/>
      <c r="G11" s="17"/>
      <c r="H11" s="15"/>
      <c r="I11" s="15"/>
      <c r="J11" s="15"/>
      <c r="K11" s="15"/>
      <c r="L11" s="15"/>
      <c r="M11" s="15"/>
      <c r="N11" s="15"/>
      <c r="O11" s="15"/>
      <c r="P11" s="15"/>
      <c r="Q11" s="15"/>
    </row>
    <row r="12" spans="2:41" ht="22.5" customHeight="1" x14ac:dyDescent="0.2">
      <c r="B12" s="108" t="s">
        <v>15</v>
      </c>
      <c r="C12" s="105"/>
      <c r="D12" s="105"/>
      <c r="E12" s="105"/>
      <c r="F12" s="105"/>
      <c r="G12" s="105"/>
      <c r="H12" s="106"/>
      <c r="I12" s="104" t="s">
        <v>16</v>
      </c>
      <c r="J12" s="105"/>
      <c r="K12" s="105"/>
      <c r="L12" s="105"/>
      <c r="M12" s="105"/>
      <c r="N12" s="105"/>
      <c r="O12" s="106"/>
      <c r="P12" s="104" t="s">
        <v>17</v>
      </c>
      <c r="Q12" s="105"/>
      <c r="R12" s="105"/>
      <c r="S12" s="105"/>
      <c r="T12" s="105"/>
      <c r="U12" s="105"/>
      <c r="V12" s="105"/>
      <c r="W12" s="106"/>
      <c r="X12" s="107" t="s">
        <v>18</v>
      </c>
      <c r="Y12" s="105"/>
      <c r="Z12" s="105"/>
      <c r="AA12" s="105"/>
      <c r="AB12" s="105"/>
      <c r="AC12" s="105"/>
      <c r="AD12" s="105"/>
    </row>
    <row r="13" spans="2:41" ht="60" customHeight="1" x14ac:dyDescent="0.2">
      <c r="B13" s="12" t="s">
        <v>19</v>
      </c>
      <c r="C13" s="12" t="s">
        <v>20</v>
      </c>
      <c r="D13" s="12" t="s">
        <v>21</v>
      </c>
      <c r="E13" s="12" t="s">
        <v>22</v>
      </c>
      <c r="F13" s="12" t="s">
        <v>23</v>
      </c>
      <c r="G13" s="12" t="s">
        <v>24</v>
      </c>
      <c r="H13" s="12" t="s">
        <v>25</v>
      </c>
      <c r="I13" s="12" t="s">
        <v>26</v>
      </c>
      <c r="J13" s="12" t="s">
        <v>27</v>
      </c>
      <c r="K13" s="12" t="s">
        <v>28</v>
      </c>
      <c r="L13" s="12" t="s">
        <v>29</v>
      </c>
      <c r="M13" s="12" t="s">
        <v>30</v>
      </c>
      <c r="N13" s="12" t="s">
        <v>31</v>
      </c>
      <c r="O13" s="12" t="s">
        <v>32</v>
      </c>
      <c r="P13" s="12" t="s">
        <v>33</v>
      </c>
      <c r="Q13" s="12" t="s">
        <v>34</v>
      </c>
      <c r="R13" s="12" t="s">
        <v>35</v>
      </c>
      <c r="S13" s="12" t="s">
        <v>36</v>
      </c>
      <c r="T13" s="12" t="s">
        <v>37</v>
      </c>
      <c r="U13" s="12" t="s">
        <v>38</v>
      </c>
      <c r="V13" s="12" t="s">
        <v>39</v>
      </c>
      <c r="W13" s="12" t="s">
        <v>40</v>
      </c>
      <c r="X13" s="12" t="s">
        <v>41</v>
      </c>
      <c r="Y13" s="12" t="s">
        <v>42</v>
      </c>
      <c r="Z13" s="12" t="s">
        <v>43</v>
      </c>
      <c r="AA13" s="12" t="s">
        <v>44</v>
      </c>
      <c r="AB13" s="12" t="s">
        <v>45</v>
      </c>
      <c r="AC13" s="12" t="s">
        <v>46</v>
      </c>
      <c r="AD13" s="12" t="s">
        <v>47</v>
      </c>
      <c r="AE13" s="18"/>
      <c r="AF13" s="18"/>
      <c r="AG13" s="18"/>
      <c r="AH13" s="18"/>
      <c r="AI13" s="18"/>
      <c r="AJ13" s="18"/>
      <c r="AK13" s="18"/>
      <c r="AL13" s="18"/>
      <c r="AM13" s="18"/>
      <c r="AN13" s="18"/>
      <c r="AO13" s="18"/>
    </row>
    <row r="14" spans="2:41" ht="90" customHeight="1" x14ac:dyDescent="0.2">
      <c r="B14" s="73">
        <v>1</v>
      </c>
      <c r="C14" s="73" t="s">
        <v>48</v>
      </c>
      <c r="D14" s="73" t="s">
        <v>49</v>
      </c>
      <c r="E14" s="73" t="s">
        <v>50</v>
      </c>
      <c r="F14" s="73" t="s">
        <v>51</v>
      </c>
      <c r="G14" s="73" t="s">
        <v>52</v>
      </c>
      <c r="H14" s="73" t="s">
        <v>53</v>
      </c>
      <c r="I14" s="73" t="s">
        <v>54</v>
      </c>
      <c r="J14" s="73">
        <v>3</v>
      </c>
      <c r="K14" s="73" t="s">
        <v>55</v>
      </c>
      <c r="L14" s="73">
        <v>4</v>
      </c>
      <c r="M14" s="73" t="s">
        <v>55</v>
      </c>
      <c r="N14" s="12">
        <f>IFERROR(RiskAssessment[[#This Row],[Likelihood]]*RiskAssessment[[#This Row],[Impact]],"Calculated")</f>
        <v>12</v>
      </c>
      <c r="O14" s="12" t="str">
        <f>IF(N14="Calculated", "Calculated", IF(N14&gt;11, " HIGH",IF(N14&gt;4," MEDIUM"," LOW")))</f>
        <v xml:space="preserve"> HIGH</v>
      </c>
      <c r="P14" s="73" t="s">
        <v>56</v>
      </c>
      <c r="Q14" s="73" t="s">
        <v>57</v>
      </c>
      <c r="R14" s="73" t="s">
        <v>58</v>
      </c>
      <c r="S14" s="89" t="s">
        <v>59</v>
      </c>
      <c r="T14" s="73" t="s">
        <v>53</v>
      </c>
      <c r="U14" s="73" t="s">
        <v>59</v>
      </c>
      <c r="V14" s="73" t="s">
        <v>59</v>
      </c>
      <c r="W14" s="73" t="s">
        <v>60</v>
      </c>
      <c r="X14" s="14">
        <v>2</v>
      </c>
      <c r="Y14" s="73" t="s">
        <v>61</v>
      </c>
      <c r="Z14" s="14">
        <v>4</v>
      </c>
      <c r="AA14" s="73" t="s">
        <v>61</v>
      </c>
      <c r="AB14" s="12">
        <f>IFERROR(RiskAssessment[[#This Row],[Post-Treatment Likelihood]]*RiskAssessment[[#This Row],[Post- Treatment Impact]],"Calculated")</f>
        <v>8</v>
      </c>
      <c r="AC14" s="12" t="str">
        <f>IF(AB14="Calculated", "Calculated", IF(AB14&gt;11, " HIGH",IF(AB14&gt;4," MEDIUM"," LOW")))</f>
        <v xml:space="preserve"> MEDIUM</v>
      </c>
      <c r="AD14" s="73" t="s">
        <v>62</v>
      </c>
    </row>
    <row r="15" spans="2:41" ht="90" customHeight="1" x14ac:dyDescent="0.2">
      <c r="B15" s="73">
        <v>2</v>
      </c>
      <c r="C15" s="73" t="s">
        <v>48</v>
      </c>
      <c r="D15" s="73" t="s">
        <v>63</v>
      </c>
      <c r="E15" s="73" t="s">
        <v>64</v>
      </c>
      <c r="F15" s="73" t="s">
        <v>65</v>
      </c>
      <c r="G15" s="73" t="s">
        <v>66</v>
      </c>
      <c r="H15" s="73" t="s">
        <v>67</v>
      </c>
      <c r="I15" s="73" t="s">
        <v>68</v>
      </c>
      <c r="J15" s="73">
        <v>4</v>
      </c>
      <c r="K15" s="73" t="s">
        <v>55</v>
      </c>
      <c r="L15" s="73">
        <v>5</v>
      </c>
      <c r="M15" s="73" t="s">
        <v>55</v>
      </c>
      <c r="N15" s="12">
        <f>IFERROR(RiskAssessment[[#This Row],[Likelihood]]*RiskAssessment[[#This Row],[Impact]],"Calculated")</f>
        <v>20</v>
      </c>
      <c r="O15" s="12" t="str">
        <f t="shared" ref="O14:O23" si="0">IF(N15="Calculated", "Calculated", IF(N15&gt;11, " HIGH",IF(N15&gt;4," MEDIUM"," LOW")))</f>
        <v xml:space="preserve"> HIGH</v>
      </c>
      <c r="P15" s="73" t="s">
        <v>56</v>
      </c>
      <c r="Q15" s="73" t="s">
        <v>69</v>
      </c>
      <c r="R15" s="73" t="s">
        <v>70</v>
      </c>
      <c r="S15" s="89" t="s">
        <v>59</v>
      </c>
      <c r="T15" s="73" t="s">
        <v>67</v>
      </c>
      <c r="U15" s="73" t="s">
        <v>59</v>
      </c>
      <c r="V15" s="73" t="s">
        <v>59</v>
      </c>
      <c r="W15" s="73" t="s">
        <v>60</v>
      </c>
      <c r="X15" s="14">
        <v>2</v>
      </c>
      <c r="Y15" s="73" t="s">
        <v>61</v>
      </c>
      <c r="Z15" s="14">
        <v>4</v>
      </c>
      <c r="AA15" s="73" t="s">
        <v>61</v>
      </c>
      <c r="AB15" s="12">
        <f>IFERROR(RiskAssessment[[#This Row],[Post-Treatment Likelihood]]*RiskAssessment[[#This Row],[Post- Treatment Impact]],"Calculated")</f>
        <v>8</v>
      </c>
      <c r="AC15" s="12" t="str">
        <f t="shared" ref="AC14:AC23" si="1">IF(AB15="Calculated", "Calculated", IF(AB15&gt;11, " HIGH",IF(AB15&gt;4," MEDIUM"," LOW")))</f>
        <v xml:space="preserve"> MEDIUM</v>
      </c>
      <c r="AD15" s="73" t="s">
        <v>71</v>
      </c>
    </row>
    <row r="16" spans="2:41" ht="90" customHeight="1" x14ac:dyDescent="0.2">
      <c r="B16" s="73">
        <v>3</v>
      </c>
      <c r="C16" s="73" t="s">
        <v>48</v>
      </c>
      <c r="D16" s="73" t="s">
        <v>72</v>
      </c>
      <c r="E16" s="73" t="s">
        <v>73</v>
      </c>
      <c r="F16" s="73" t="s">
        <v>74</v>
      </c>
      <c r="G16" s="73" t="s">
        <v>52</v>
      </c>
      <c r="H16" s="73" t="s">
        <v>75</v>
      </c>
      <c r="I16" s="73" t="s">
        <v>76</v>
      </c>
      <c r="J16" s="73">
        <v>4</v>
      </c>
      <c r="K16" s="73" t="s">
        <v>55</v>
      </c>
      <c r="L16" s="73">
        <v>5</v>
      </c>
      <c r="M16" s="73" t="s">
        <v>55</v>
      </c>
      <c r="N16" s="12">
        <f>IFERROR(RiskAssessment[[#This Row],[Likelihood]]*RiskAssessment[[#This Row],[Impact]],"Calculated")</f>
        <v>20</v>
      </c>
      <c r="O16" s="12" t="str">
        <f t="shared" si="0"/>
        <v xml:space="preserve"> HIGH</v>
      </c>
      <c r="P16" s="73" t="s">
        <v>56</v>
      </c>
      <c r="Q16" s="73" t="s">
        <v>77</v>
      </c>
      <c r="R16" s="73" t="s">
        <v>78</v>
      </c>
      <c r="S16" s="89" t="s">
        <v>59</v>
      </c>
      <c r="T16" s="73" t="s">
        <v>75</v>
      </c>
      <c r="U16" s="73" t="s">
        <v>59</v>
      </c>
      <c r="V16" s="73" t="s">
        <v>59</v>
      </c>
      <c r="W16" s="73" t="s">
        <v>60</v>
      </c>
      <c r="X16" s="14"/>
      <c r="Y16" s="73" t="s">
        <v>61</v>
      </c>
      <c r="Z16" s="14"/>
      <c r="AA16" s="73" t="s">
        <v>61</v>
      </c>
      <c r="AB16" s="12">
        <f>IFERROR(RiskAssessment[[#This Row],[Post-Treatment Likelihood]]*RiskAssessment[[#This Row],[Post- Treatment Impact]],"Calculated")</f>
        <v>0</v>
      </c>
      <c r="AC16" s="12" t="str">
        <f t="shared" si="1"/>
        <v xml:space="preserve"> LOW</v>
      </c>
      <c r="AD16" s="73" t="s">
        <v>79</v>
      </c>
    </row>
    <row r="17" spans="2:30" ht="90" customHeight="1" x14ac:dyDescent="0.2">
      <c r="B17" s="73">
        <v>4</v>
      </c>
      <c r="C17" s="73" t="s">
        <v>48</v>
      </c>
      <c r="D17" s="73" t="s">
        <v>80</v>
      </c>
      <c r="E17" s="73" t="s">
        <v>81</v>
      </c>
      <c r="F17" s="73" t="s">
        <v>51</v>
      </c>
      <c r="G17" s="73" t="s">
        <v>66</v>
      </c>
      <c r="H17" s="73" t="s">
        <v>82</v>
      </c>
      <c r="I17" s="73" t="s">
        <v>83</v>
      </c>
      <c r="J17" s="73">
        <v>3</v>
      </c>
      <c r="K17" s="73" t="s">
        <v>55</v>
      </c>
      <c r="L17" s="73">
        <v>5</v>
      </c>
      <c r="M17" s="73" t="s">
        <v>55</v>
      </c>
      <c r="N17" s="12">
        <f>IFERROR(RiskAssessment[[#This Row],[Likelihood]]*RiskAssessment[[#This Row],[Impact]],"Calculated")</f>
        <v>15</v>
      </c>
      <c r="O17" s="12" t="str">
        <f t="shared" si="0"/>
        <v xml:space="preserve"> HIGH</v>
      </c>
      <c r="P17" s="73" t="s">
        <v>56</v>
      </c>
      <c r="Q17" s="73" t="s">
        <v>84</v>
      </c>
      <c r="R17" s="64" t="s">
        <v>85</v>
      </c>
      <c r="S17" s="89" t="s">
        <v>59</v>
      </c>
      <c r="T17" s="73" t="s">
        <v>82</v>
      </c>
      <c r="U17" s="90" t="s">
        <v>59</v>
      </c>
      <c r="V17" s="73" t="s">
        <v>59</v>
      </c>
      <c r="W17" s="73" t="s">
        <v>60</v>
      </c>
      <c r="X17" s="14">
        <v>2</v>
      </c>
      <c r="Y17" s="73" t="s">
        <v>61</v>
      </c>
      <c r="Z17" s="14">
        <v>2</v>
      </c>
      <c r="AA17" s="73" t="s">
        <v>61</v>
      </c>
      <c r="AB17" s="12">
        <f>IFERROR(RiskAssessment[[#This Row],[Post-Treatment Likelihood]]*RiskAssessment[[#This Row],[Post- Treatment Impact]],"Calculated")</f>
        <v>4</v>
      </c>
      <c r="AC17" s="12" t="str">
        <f t="shared" si="1"/>
        <v xml:space="preserve"> LOW</v>
      </c>
      <c r="AD17" s="73" t="s">
        <v>86</v>
      </c>
    </row>
    <row r="18" spans="2:30" ht="90" customHeight="1" x14ac:dyDescent="0.2">
      <c r="B18" s="73">
        <v>5</v>
      </c>
      <c r="C18" s="73" t="s">
        <v>87</v>
      </c>
      <c r="D18" s="73" t="s">
        <v>88</v>
      </c>
      <c r="E18" s="73" t="s">
        <v>89</v>
      </c>
      <c r="F18" s="73" t="s">
        <v>90</v>
      </c>
      <c r="G18" s="73" t="s">
        <v>91</v>
      </c>
      <c r="H18" s="73" t="s">
        <v>92</v>
      </c>
      <c r="I18" s="73" t="s">
        <v>93</v>
      </c>
      <c r="J18" s="73">
        <v>2</v>
      </c>
      <c r="K18" s="73" t="s">
        <v>55</v>
      </c>
      <c r="L18" s="73">
        <v>4</v>
      </c>
      <c r="M18" s="73" t="s">
        <v>55</v>
      </c>
      <c r="N18" s="12">
        <f>IFERROR(RiskAssessment[[#This Row],[Likelihood]]*RiskAssessment[[#This Row],[Impact]],"Calculated")</f>
        <v>8</v>
      </c>
      <c r="O18" s="12" t="str">
        <f t="shared" si="0"/>
        <v xml:space="preserve"> MEDIUM</v>
      </c>
      <c r="P18" s="73" t="s">
        <v>56</v>
      </c>
      <c r="Q18" s="73" t="s">
        <v>94</v>
      </c>
      <c r="R18" s="73" t="s">
        <v>95</v>
      </c>
      <c r="S18" s="89" t="s">
        <v>59</v>
      </c>
      <c r="T18" s="73" t="s">
        <v>92</v>
      </c>
      <c r="U18" s="73" t="s">
        <v>59</v>
      </c>
      <c r="V18" s="73" t="s">
        <v>59</v>
      </c>
      <c r="W18" s="73" t="s">
        <v>60</v>
      </c>
      <c r="X18" s="14">
        <v>2</v>
      </c>
      <c r="Y18" s="73" t="s">
        <v>61</v>
      </c>
      <c r="Z18" s="14">
        <v>4</v>
      </c>
      <c r="AA18" s="73" t="s">
        <v>61</v>
      </c>
      <c r="AB18" s="12">
        <f>IFERROR(RiskAssessment[[#This Row],[Post-Treatment Likelihood]]*RiskAssessment[[#This Row],[Post- Treatment Impact]],"Calculated")</f>
        <v>8</v>
      </c>
      <c r="AC18" s="12" t="str">
        <f t="shared" si="1"/>
        <v xml:space="preserve"> MEDIUM</v>
      </c>
      <c r="AD18" s="73" t="s">
        <v>96</v>
      </c>
    </row>
    <row r="19" spans="2:30" ht="90" customHeight="1" x14ac:dyDescent="0.2">
      <c r="B19" s="73">
        <v>6</v>
      </c>
      <c r="C19" s="73" t="s">
        <v>48</v>
      </c>
      <c r="D19" s="73" t="s">
        <v>97</v>
      </c>
      <c r="E19" s="73" t="s">
        <v>98</v>
      </c>
      <c r="F19" s="73" t="s">
        <v>99</v>
      </c>
      <c r="G19" s="73" t="s">
        <v>91</v>
      </c>
      <c r="H19" s="73" t="s">
        <v>100</v>
      </c>
      <c r="I19" s="73" t="s">
        <v>101</v>
      </c>
      <c r="J19" s="73">
        <v>2</v>
      </c>
      <c r="K19" s="73" t="s">
        <v>55</v>
      </c>
      <c r="L19" s="73">
        <v>4</v>
      </c>
      <c r="M19" s="73" t="s">
        <v>55</v>
      </c>
      <c r="N19" s="12">
        <f>IFERROR(RiskAssessment[[#This Row],[Likelihood]]*RiskAssessment[[#This Row],[Impact]],"Calculated")</f>
        <v>8</v>
      </c>
      <c r="O19" s="12" t="str">
        <f t="shared" si="0"/>
        <v xml:space="preserve"> MEDIUM</v>
      </c>
      <c r="P19" s="73" t="s">
        <v>56</v>
      </c>
      <c r="Q19" s="73" t="s">
        <v>102</v>
      </c>
      <c r="R19" s="73" t="s">
        <v>103</v>
      </c>
      <c r="S19" s="89" t="s">
        <v>59</v>
      </c>
      <c r="T19" s="73" t="s">
        <v>100</v>
      </c>
      <c r="U19" s="73" t="s">
        <v>59</v>
      </c>
      <c r="V19" s="73" t="s">
        <v>59</v>
      </c>
      <c r="W19" s="73" t="s">
        <v>60</v>
      </c>
      <c r="X19" s="14">
        <v>2</v>
      </c>
      <c r="Y19" s="73" t="s">
        <v>61</v>
      </c>
      <c r="Z19" s="14">
        <v>3</v>
      </c>
      <c r="AA19" s="73" t="s">
        <v>61</v>
      </c>
      <c r="AB19" s="12">
        <f>IFERROR(RiskAssessment[[#This Row],[Post-Treatment Likelihood]]*RiskAssessment[[#This Row],[Post- Treatment Impact]],"Calculated")</f>
        <v>6</v>
      </c>
      <c r="AC19" s="12" t="str">
        <f t="shared" si="1"/>
        <v xml:space="preserve"> MEDIUM</v>
      </c>
      <c r="AD19" s="73" t="s">
        <v>104</v>
      </c>
    </row>
    <row r="20" spans="2:30" ht="90" customHeight="1" x14ac:dyDescent="0.2">
      <c r="B20" s="73">
        <v>7</v>
      </c>
      <c r="C20" s="73" t="s">
        <v>105</v>
      </c>
      <c r="D20" s="73" t="s">
        <v>106</v>
      </c>
      <c r="E20" s="73" t="s">
        <v>107</v>
      </c>
      <c r="F20" s="73" t="s">
        <v>108</v>
      </c>
      <c r="G20" s="73" t="s">
        <v>52</v>
      </c>
      <c r="H20" s="73" t="s">
        <v>109</v>
      </c>
      <c r="I20" s="73" t="s">
        <v>110</v>
      </c>
      <c r="J20" s="73">
        <v>3</v>
      </c>
      <c r="K20" s="73" t="s">
        <v>55</v>
      </c>
      <c r="L20" s="73">
        <v>4</v>
      </c>
      <c r="M20" s="73" t="s">
        <v>55</v>
      </c>
      <c r="N20" s="12">
        <f>IFERROR(RiskAssessment[[#This Row],[Likelihood]]*RiskAssessment[[#This Row],[Impact]],"Calculated")</f>
        <v>12</v>
      </c>
      <c r="O20" s="12" t="str">
        <f t="shared" si="0"/>
        <v xml:space="preserve"> HIGH</v>
      </c>
      <c r="P20" s="73" t="s">
        <v>56</v>
      </c>
      <c r="Q20" s="73" t="s">
        <v>111</v>
      </c>
      <c r="R20" s="73" t="s">
        <v>112</v>
      </c>
      <c r="S20" s="89" t="s">
        <v>59</v>
      </c>
      <c r="T20" s="73" t="s">
        <v>109</v>
      </c>
      <c r="U20" s="73" t="s">
        <v>59</v>
      </c>
      <c r="V20" s="73" t="s">
        <v>59</v>
      </c>
      <c r="W20" s="73" t="s">
        <v>60</v>
      </c>
      <c r="X20" s="14">
        <v>2</v>
      </c>
      <c r="Y20" s="73" t="s">
        <v>61</v>
      </c>
      <c r="Z20" s="14">
        <v>3</v>
      </c>
      <c r="AA20" s="73" t="s">
        <v>61</v>
      </c>
      <c r="AB20" s="12">
        <f>IFERROR(RiskAssessment[[#This Row],[Post-Treatment Likelihood]]*RiskAssessment[[#This Row],[Post- Treatment Impact]],"Calculated")</f>
        <v>6</v>
      </c>
      <c r="AC20" s="12" t="str">
        <f t="shared" si="1"/>
        <v xml:space="preserve"> MEDIUM</v>
      </c>
      <c r="AD20" s="73" t="s">
        <v>113</v>
      </c>
    </row>
    <row r="21" spans="2:30" ht="90" customHeight="1" x14ac:dyDescent="0.2">
      <c r="B21" s="73">
        <v>8</v>
      </c>
      <c r="C21" s="73" t="s">
        <v>105</v>
      </c>
      <c r="D21" s="73" t="s">
        <v>114</v>
      </c>
      <c r="E21" s="73" t="s">
        <v>115</v>
      </c>
      <c r="F21" s="73" t="s">
        <v>116</v>
      </c>
      <c r="G21" s="73" t="s">
        <v>52</v>
      </c>
      <c r="H21" s="73" t="s">
        <v>117</v>
      </c>
      <c r="I21" s="73" t="s">
        <v>118</v>
      </c>
      <c r="J21" s="73">
        <v>3</v>
      </c>
      <c r="K21" s="73" t="s">
        <v>55</v>
      </c>
      <c r="L21" s="73">
        <v>4</v>
      </c>
      <c r="M21" s="73" t="s">
        <v>55</v>
      </c>
      <c r="N21" s="12">
        <f>IFERROR(RiskAssessment[[#This Row],[Likelihood]]*RiskAssessment[[#This Row],[Impact]],"Calculated")</f>
        <v>12</v>
      </c>
      <c r="O21" s="12" t="str">
        <f t="shared" si="0"/>
        <v xml:space="preserve"> HIGH</v>
      </c>
      <c r="P21" s="73" t="s">
        <v>56</v>
      </c>
      <c r="Q21" s="73" t="s">
        <v>119</v>
      </c>
      <c r="R21" s="73" t="s">
        <v>120</v>
      </c>
      <c r="S21" s="89" t="s">
        <v>59</v>
      </c>
      <c r="T21" s="73" t="s">
        <v>117</v>
      </c>
      <c r="U21" s="73" t="s">
        <v>59</v>
      </c>
      <c r="V21" s="73" t="s">
        <v>59</v>
      </c>
      <c r="W21" s="73" t="s">
        <v>60</v>
      </c>
      <c r="X21" s="14">
        <v>2</v>
      </c>
      <c r="Y21" s="73" t="s">
        <v>61</v>
      </c>
      <c r="Z21" s="14">
        <v>2</v>
      </c>
      <c r="AA21" s="73" t="s">
        <v>61</v>
      </c>
      <c r="AB21" s="12">
        <f>IFERROR(RiskAssessment[[#This Row],[Post-Treatment Likelihood]]*RiskAssessment[[#This Row],[Post- Treatment Impact]],"Calculated")</f>
        <v>4</v>
      </c>
      <c r="AC21" s="12" t="str">
        <f t="shared" si="1"/>
        <v xml:space="preserve"> LOW</v>
      </c>
      <c r="AD21" s="73" t="s">
        <v>121</v>
      </c>
    </row>
    <row r="22" spans="2:30" ht="90" customHeight="1" x14ac:dyDescent="0.2">
      <c r="B22" s="73">
        <v>9</v>
      </c>
      <c r="C22" s="73" t="s">
        <v>122</v>
      </c>
      <c r="D22" s="73" t="s">
        <v>123</v>
      </c>
      <c r="E22" s="73" t="s">
        <v>124</v>
      </c>
      <c r="F22" s="73" t="s">
        <v>125</v>
      </c>
      <c r="G22" s="73" t="s">
        <v>52</v>
      </c>
      <c r="H22" s="73" t="s">
        <v>126</v>
      </c>
      <c r="I22" s="73" t="s">
        <v>127</v>
      </c>
      <c r="J22" s="73">
        <v>3</v>
      </c>
      <c r="K22" s="73" t="s">
        <v>55</v>
      </c>
      <c r="L22" s="73">
        <v>4</v>
      </c>
      <c r="M22" s="73" t="s">
        <v>55</v>
      </c>
      <c r="N22" s="12">
        <f>IFERROR(RiskAssessment[[#This Row],[Likelihood]]*RiskAssessment[[#This Row],[Impact]],"Calculated")</f>
        <v>12</v>
      </c>
      <c r="O22" s="12" t="str">
        <f t="shared" si="0"/>
        <v xml:space="preserve"> HIGH</v>
      </c>
      <c r="P22" s="73" t="s">
        <v>56</v>
      </c>
      <c r="Q22" s="73" t="s">
        <v>128</v>
      </c>
      <c r="R22" s="73" t="s">
        <v>129</v>
      </c>
      <c r="S22" s="89" t="s">
        <v>59</v>
      </c>
      <c r="T22" s="73" t="s">
        <v>126</v>
      </c>
      <c r="U22" s="73" t="s">
        <v>59</v>
      </c>
      <c r="V22" s="73" t="s">
        <v>59</v>
      </c>
      <c r="W22" s="73" t="s">
        <v>60</v>
      </c>
      <c r="X22" s="14">
        <v>2</v>
      </c>
      <c r="Y22" s="73" t="s">
        <v>61</v>
      </c>
      <c r="Z22" s="14">
        <v>3</v>
      </c>
      <c r="AA22" s="73" t="s">
        <v>61</v>
      </c>
      <c r="AB22" s="12">
        <f>IFERROR(RiskAssessment[[#This Row],[Post-Treatment Likelihood]]*RiskAssessment[[#This Row],[Post- Treatment Impact]],"Calculated")</f>
        <v>6</v>
      </c>
      <c r="AC22" s="12" t="str">
        <f t="shared" si="1"/>
        <v xml:space="preserve"> MEDIUM</v>
      </c>
      <c r="AD22" s="73" t="s">
        <v>130</v>
      </c>
    </row>
    <row r="23" spans="2:30" ht="90" customHeight="1" x14ac:dyDescent="0.2">
      <c r="B23" s="73">
        <v>10</v>
      </c>
      <c r="C23" s="73" t="s">
        <v>48</v>
      </c>
      <c r="D23" s="73" t="s">
        <v>131</v>
      </c>
      <c r="E23" s="73" t="s">
        <v>132</v>
      </c>
      <c r="F23" s="73" t="s">
        <v>133</v>
      </c>
      <c r="G23" s="73" t="s">
        <v>756</v>
      </c>
      <c r="H23" s="73" t="s">
        <v>134</v>
      </c>
      <c r="I23" s="73" t="s">
        <v>135</v>
      </c>
      <c r="J23" s="73">
        <v>2</v>
      </c>
      <c r="K23" s="73" t="s">
        <v>55</v>
      </c>
      <c r="L23" s="73">
        <v>4</v>
      </c>
      <c r="M23" s="73" t="s">
        <v>55</v>
      </c>
      <c r="N23" s="12">
        <f>IFERROR(RiskAssessment[[#This Row],[Likelihood]]*RiskAssessment[[#This Row],[Impact]],"Calculated")</f>
        <v>8</v>
      </c>
      <c r="O23" s="12" t="str">
        <f t="shared" si="0"/>
        <v xml:space="preserve"> MEDIUM</v>
      </c>
      <c r="P23" s="73" t="s">
        <v>56</v>
      </c>
      <c r="Q23" s="73" t="s">
        <v>136</v>
      </c>
      <c r="R23" s="73" t="s">
        <v>137</v>
      </c>
      <c r="S23" s="89" t="s">
        <v>59</v>
      </c>
      <c r="T23" s="73" t="s">
        <v>134</v>
      </c>
      <c r="U23" s="73" t="s">
        <v>59</v>
      </c>
      <c r="V23" s="73" t="s">
        <v>59</v>
      </c>
      <c r="W23" s="73" t="s">
        <v>60</v>
      </c>
      <c r="X23" s="14">
        <v>2</v>
      </c>
      <c r="Y23" s="73" t="s">
        <v>61</v>
      </c>
      <c r="Z23" s="14">
        <v>3</v>
      </c>
      <c r="AA23" s="73" t="s">
        <v>61</v>
      </c>
      <c r="AB23" s="12">
        <f>IFERROR(RiskAssessment[[#This Row],[Post-Treatment Likelihood]]*RiskAssessment[[#This Row],[Post- Treatment Impact]],"Calculated")</f>
        <v>6</v>
      </c>
      <c r="AC23" s="12" t="str">
        <f t="shared" si="1"/>
        <v xml:space="preserve"> MEDIUM</v>
      </c>
      <c r="AD23" s="73" t="s">
        <v>138</v>
      </c>
    </row>
  </sheetData>
  <mergeCells count="4">
    <mergeCell ref="P12:W12"/>
    <mergeCell ref="I12:O12"/>
    <mergeCell ref="X12:AD12"/>
    <mergeCell ref="B12:H12"/>
  </mergeCells>
  <conditionalFormatting sqref="O14:O23 AC14:AC23">
    <cfRule type="cellIs" dxfId="3" priority="45" operator="equal">
      <formula>" HIGH"</formula>
    </cfRule>
    <cfRule type="cellIs" dxfId="2" priority="46" operator="equal">
      <formula>" MEDIUM"</formula>
    </cfRule>
    <cfRule type="cellIs" dxfId="1" priority="47" operator="equal">
      <formula>" LOW"</formula>
    </cfRule>
  </conditionalFormatting>
  <conditionalFormatting sqref="Q14:AB23">
    <cfRule type="expression" dxfId="0" priority="4">
      <formula>$P14="Accept"</formula>
    </cfRule>
  </conditionalFormatting>
  <pageMargins left="0.70866141732283472" right="0.70866141732283472" top="0.74803149606299213" bottom="0.74803149606299213" header="0.31496062992125978" footer="0.31496062992125978"/>
  <pageSetup paperSize="9" scale="25" fitToHeight="0" orientation="landscape" horizontalDpi="360" verticalDpi="360"/>
  <headerFooter>
    <oddFooter>&amp;L&amp;D&amp;CPage &amp;P of &amp;N&amp;R[Insert classification]</oddFooter>
  </headerFooter>
  <colBreaks count="2" manualBreakCount="2">
    <brk id="15" max="1048575" man="1"/>
    <brk id="23" max="1048575" man="1"/>
  </colBreaks>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B8:AI72"/>
  <sheetViews>
    <sheetView showGridLines="0" zoomScale="85" zoomScaleNormal="85" workbookViewId="0">
      <selection activeCell="K7" sqref="K7"/>
    </sheetView>
  </sheetViews>
  <sheetFormatPr defaultRowHeight="15" x14ac:dyDescent="0.2"/>
  <cols>
    <col min="1" max="1" width="2.82421875" customWidth="1"/>
    <col min="2" max="2" width="7.6640625" customWidth="1"/>
    <col min="3" max="8" width="13.71875" customWidth="1"/>
    <col min="9" max="11" width="8.609375" customWidth="1"/>
    <col min="12" max="12" width="7.6640625" customWidth="1"/>
    <col min="13" max="26" width="8.609375" customWidth="1"/>
  </cols>
  <sheetData>
    <row r="8" spans="2:35" ht="21" customHeight="1" x14ac:dyDescent="0.3">
      <c r="B8" s="29" t="s">
        <v>139</v>
      </c>
      <c r="AA8" s="40"/>
      <c r="AB8" s="40"/>
      <c r="AC8" s="40"/>
      <c r="AD8" s="40"/>
      <c r="AE8" s="40"/>
      <c r="AF8" s="40"/>
      <c r="AG8" s="40"/>
      <c r="AH8" s="40"/>
      <c r="AI8" s="40"/>
    </row>
    <row r="9" spans="2:35" ht="15" customHeight="1" x14ac:dyDescent="0.2">
      <c r="B9" s="9"/>
    </row>
    <row r="11" spans="2:35" ht="20.100000000000001" customHeight="1" x14ac:dyDescent="0.25">
      <c r="B11" s="41" t="s">
        <v>140</v>
      </c>
      <c r="C11" s="42"/>
      <c r="D11" s="42"/>
      <c r="E11" s="42"/>
      <c r="F11" s="42"/>
      <c r="G11" s="42"/>
      <c r="H11" s="42"/>
      <c r="I11" s="43"/>
      <c r="J11" s="43"/>
      <c r="K11" s="43"/>
      <c r="L11" s="43"/>
      <c r="M11" s="42"/>
      <c r="N11" s="42"/>
      <c r="O11" s="42"/>
      <c r="P11" s="42"/>
      <c r="Q11" s="42"/>
      <c r="R11" s="42"/>
      <c r="S11" s="42"/>
      <c r="T11" s="42"/>
      <c r="U11" s="42"/>
      <c r="V11" s="42"/>
      <c r="W11" s="42"/>
      <c r="X11" s="42"/>
      <c r="Y11" s="42"/>
      <c r="Z11" s="42"/>
      <c r="AE11" s="40"/>
      <c r="AF11" s="40"/>
      <c r="AG11" s="40"/>
      <c r="AH11" s="40"/>
      <c r="AI11" s="40"/>
    </row>
    <row r="12" spans="2:35" ht="15" customHeight="1" x14ac:dyDescent="0.2">
      <c r="I12" s="2"/>
      <c r="J12" s="2"/>
      <c r="K12" s="2"/>
      <c r="L12" s="2"/>
      <c r="M12" s="3"/>
      <c r="N12" s="3"/>
      <c r="O12" s="3"/>
    </row>
    <row r="13" spans="2:35" ht="15" customHeight="1" x14ac:dyDescent="0.2">
      <c r="I13" s="2"/>
      <c r="J13" s="2"/>
      <c r="K13" s="2"/>
      <c r="L13" s="2"/>
    </row>
    <row r="14" spans="2:35" ht="15" customHeight="1" x14ac:dyDescent="0.2">
      <c r="I14" s="2"/>
      <c r="J14" s="2"/>
      <c r="K14" s="2"/>
      <c r="L14" s="2"/>
    </row>
    <row r="15" spans="2:35" ht="15" customHeight="1" x14ac:dyDescent="0.2">
      <c r="I15" s="2"/>
      <c r="J15" s="2"/>
      <c r="K15" s="2"/>
      <c r="L15" s="2"/>
    </row>
    <row r="16" spans="2:35" ht="15" customHeight="1" x14ac:dyDescent="0.2">
      <c r="I16" s="2"/>
      <c r="J16" s="2"/>
      <c r="K16" s="2"/>
      <c r="L16" s="2"/>
    </row>
    <row r="17" spans="9:12" ht="15" customHeight="1" x14ac:dyDescent="0.2">
      <c r="I17" s="2"/>
      <c r="J17" s="2"/>
      <c r="K17" s="2"/>
      <c r="L17" s="2"/>
    </row>
    <row r="18" spans="9:12" ht="15" customHeight="1" x14ac:dyDescent="0.2">
      <c r="I18" s="2"/>
      <c r="J18" s="2"/>
      <c r="K18" s="2"/>
      <c r="L18" s="2"/>
    </row>
    <row r="19" spans="9:12" ht="15" customHeight="1" x14ac:dyDescent="0.2">
      <c r="I19" s="2"/>
      <c r="J19" s="2"/>
      <c r="K19" s="2"/>
      <c r="L19" s="2"/>
    </row>
    <row r="20" spans="9:12" ht="15" customHeight="1" x14ac:dyDescent="0.2">
      <c r="I20" s="2"/>
      <c r="J20" s="2"/>
      <c r="K20" s="2"/>
      <c r="L20" s="2"/>
    </row>
    <row r="21" spans="9:12" ht="15" customHeight="1" x14ac:dyDescent="0.2">
      <c r="I21" s="2"/>
      <c r="J21" s="2"/>
      <c r="K21" s="2"/>
      <c r="L21" s="2"/>
    </row>
    <row r="22" spans="9:12" ht="15" customHeight="1" x14ac:dyDescent="0.2">
      <c r="I22" s="2"/>
      <c r="J22" s="2"/>
      <c r="K22" s="2"/>
      <c r="L22" s="2"/>
    </row>
    <row r="23" spans="9:12" ht="15" customHeight="1" x14ac:dyDescent="0.2">
      <c r="I23" s="2"/>
      <c r="J23" s="2"/>
      <c r="K23" s="2"/>
      <c r="L23" s="2"/>
    </row>
    <row r="24" spans="9:12" ht="15" customHeight="1" x14ac:dyDescent="0.2">
      <c r="I24" s="2"/>
      <c r="J24" s="2"/>
      <c r="K24" s="2"/>
      <c r="L24" s="2"/>
    </row>
    <row r="25" spans="9:12" ht="15" customHeight="1" x14ac:dyDescent="0.2">
      <c r="I25" s="2"/>
      <c r="J25" s="2"/>
      <c r="K25" s="2"/>
      <c r="L25" s="2"/>
    </row>
    <row r="26" spans="9:12" ht="15" customHeight="1" x14ac:dyDescent="0.2">
      <c r="I26" s="2"/>
      <c r="J26" s="2"/>
      <c r="K26" s="2"/>
      <c r="L26" s="2"/>
    </row>
    <row r="27" spans="9:12" ht="15" customHeight="1" x14ac:dyDescent="0.2">
      <c r="I27" s="2"/>
      <c r="J27" s="2"/>
      <c r="K27" s="2"/>
      <c r="L27" s="2"/>
    </row>
    <row r="28" spans="9:12" ht="15" customHeight="1" x14ac:dyDescent="0.2">
      <c r="I28" s="2"/>
      <c r="J28" s="2"/>
      <c r="K28" s="2"/>
      <c r="L28" s="2"/>
    </row>
    <row r="29" spans="9:12" ht="15" customHeight="1" x14ac:dyDescent="0.2">
      <c r="I29" s="2"/>
      <c r="J29" s="2"/>
      <c r="K29" s="2"/>
      <c r="L29" s="2"/>
    </row>
    <row r="30" spans="9:12" ht="15" customHeight="1" x14ac:dyDescent="0.2">
      <c r="I30" s="2"/>
      <c r="J30" s="2"/>
      <c r="K30" s="2"/>
      <c r="L30" s="2"/>
    </row>
    <row r="31" spans="9:12" ht="15" customHeight="1" x14ac:dyDescent="0.2">
      <c r="I31" s="2"/>
      <c r="J31" s="2"/>
      <c r="K31" s="2"/>
      <c r="L31" s="2"/>
    </row>
    <row r="32" spans="9:12" ht="15" customHeight="1" x14ac:dyDescent="0.2">
      <c r="I32" s="2"/>
      <c r="J32" s="2"/>
      <c r="K32" s="2"/>
      <c r="L32" s="2"/>
    </row>
    <row r="33" spans="2:26" ht="15" customHeight="1" x14ac:dyDescent="0.2">
      <c r="I33" s="2"/>
      <c r="J33" s="2"/>
      <c r="K33" s="2"/>
      <c r="L33" s="2"/>
    </row>
    <row r="34" spans="2:26" ht="18.75" customHeight="1" x14ac:dyDescent="0.25">
      <c r="B34" s="41" t="s">
        <v>141</v>
      </c>
      <c r="C34" s="42"/>
      <c r="D34" s="42"/>
      <c r="E34" s="39"/>
      <c r="F34" s="39"/>
      <c r="G34" s="39"/>
      <c r="H34" s="39"/>
      <c r="I34" s="39"/>
      <c r="J34" s="39"/>
      <c r="K34" s="39"/>
      <c r="L34" s="39"/>
      <c r="M34" s="39"/>
      <c r="N34" s="39"/>
      <c r="O34" s="42"/>
      <c r="P34" s="42"/>
      <c r="Q34" s="42"/>
      <c r="R34" s="42"/>
      <c r="S34" s="42"/>
      <c r="T34" s="42"/>
      <c r="U34" s="42"/>
      <c r="V34" s="42"/>
      <c r="W34" s="42"/>
      <c r="X34" s="42"/>
      <c r="Y34" s="42"/>
      <c r="Z34" s="42"/>
    </row>
    <row r="35" spans="2:26" ht="15" customHeight="1" x14ac:dyDescent="0.2">
      <c r="I35" s="2"/>
      <c r="J35" s="2"/>
      <c r="K35" s="2"/>
      <c r="L35" s="2"/>
    </row>
    <row r="36" spans="2:26" ht="15" customHeight="1" x14ac:dyDescent="0.2">
      <c r="I36" s="2"/>
      <c r="J36" s="2"/>
      <c r="K36" s="2"/>
      <c r="L36" s="2"/>
    </row>
    <row r="37" spans="2:26" ht="15" customHeight="1" x14ac:dyDescent="0.2">
      <c r="I37" s="2"/>
      <c r="J37" s="2"/>
      <c r="K37" s="2"/>
      <c r="L37" s="2"/>
    </row>
    <row r="38" spans="2:26" ht="15" customHeight="1" x14ac:dyDescent="0.2">
      <c r="I38" s="2"/>
      <c r="J38" s="2"/>
      <c r="K38" s="2"/>
      <c r="L38" s="2"/>
    </row>
    <row r="39" spans="2:26" ht="15" customHeight="1" x14ac:dyDescent="0.2">
      <c r="I39" s="2"/>
      <c r="J39" s="2"/>
      <c r="K39" s="2"/>
      <c r="L39" s="2"/>
    </row>
    <row r="40" spans="2:26" ht="15" customHeight="1" x14ac:dyDescent="0.2">
      <c r="I40" s="2"/>
      <c r="J40" s="2"/>
      <c r="K40" s="2"/>
      <c r="L40" s="2"/>
    </row>
    <row r="41" spans="2:26" ht="15" customHeight="1" x14ac:dyDescent="0.2">
      <c r="I41" s="2"/>
      <c r="J41" s="2"/>
      <c r="K41" s="2"/>
      <c r="L41" s="2"/>
    </row>
    <row r="42" spans="2:26" ht="15" customHeight="1" x14ac:dyDescent="0.2">
      <c r="I42" s="2"/>
      <c r="J42" s="2"/>
      <c r="K42" s="2"/>
      <c r="L42" s="2"/>
    </row>
    <row r="43" spans="2:26" ht="15" customHeight="1" x14ac:dyDescent="0.2">
      <c r="I43" s="2"/>
      <c r="J43" s="2"/>
      <c r="K43" s="2"/>
      <c r="L43" s="2"/>
    </row>
    <row r="44" spans="2:26" ht="15" customHeight="1" x14ac:dyDescent="0.2">
      <c r="I44" s="2"/>
      <c r="J44" s="2"/>
      <c r="K44" s="2"/>
      <c r="L44" s="2"/>
    </row>
    <row r="45" spans="2:26" ht="15" customHeight="1" x14ac:dyDescent="0.2">
      <c r="I45" s="2"/>
      <c r="J45" s="2"/>
      <c r="K45" s="2"/>
      <c r="L45" s="2"/>
    </row>
    <row r="46" spans="2:26" ht="15" customHeight="1" x14ac:dyDescent="0.2">
      <c r="I46" s="2"/>
      <c r="J46" s="2"/>
      <c r="K46" s="2"/>
      <c r="L46" s="2"/>
    </row>
    <row r="47" spans="2:26" ht="15" customHeight="1" x14ac:dyDescent="0.2">
      <c r="I47" s="2"/>
      <c r="J47" s="2"/>
      <c r="K47" s="2"/>
      <c r="L47" s="2"/>
    </row>
    <row r="48" spans="2:26" ht="15" customHeight="1" x14ac:dyDescent="0.2">
      <c r="I48" s="2"/>
      <c r="J48" s="2"/>
      <c r="K48" s="2"/>
      <c r="L48" s="2"/>
    </row>
    <row r="49" spans="2:26" ht="15" customHeight="1" x14ac:dyDescent="0.2">
      <c r="I49" s="2"/>
      <c r="J49" s="2"/>
      <c r="K49" s="2"/>
      <c r="L49" s="2"/>
    </row>
    <row r="50" spans="2:26" ht="15" customHeight="1" x14ac:dyDescent="0.2">
      <c r="I50" s="2"/>
      <c r="J50" s="2"/>
      <c r="K50" s="2"/>
      <c r="L50" s="2"/>
    </row>
    <row r="51" spans="2:26" ht="15" customHeight="1" x14ac:dyDescent="0.2">
      <c r="I51" s="2"/>
      <c r="J51" s="2"/>
      <c r="K51" s="2"/>
      <c r="L51" s="2"/>
    </row>
    <row r="52" spans="2:26" ht="15" customHeight="1" x14ac:dyDescent="0.2">
      <c r="I52" s="2"/>
      <c r="J52" s="2"/>
      <c r="K52" s="2"/>
      <c r="L52" s="2"/>
    </row>
    <row r="53" spans="2:26" ht="15" customHeight="1" x14ac:dyDescent="0.2">
      <c r="I53" s="2"/>
      <c r="J53" s="2"/>
      <c r="K53" s="2"/>
      <c r="L53" s="2"/>
    </row>
    <row r="54" spans="2:26" ht="15" customHeight="1" x14ac:dyDescent="0.2">
      <c r="I54" s="2"/>
      <c r="J54" s="2"/>
      <c r="K54" s="2"/>
      <c r="L54" s="2"/>
    </row>
    <row r="55" spans="2:26" ht="15" customHeight="1" x14ac:dyDescent="0.2">
      <c r="B55" s="44"/>
      <c r="I55" s="2"/>
      <c r="J55" s="2"/>
      <c r="K55" s="2"/>
      <c r="L55" s="2"/>
    </row>
    <row r="57" spans="2:26" ht="18.75" customHeight="1" x14ac:dyDescent="0.25">
      <c r="B57" s="45" t="s">
        <v>142</v>
      </c>
      <c r="C57" s="39"/>
      <c r="D57" s="39"/>
      <c r="E57" s="39"/>
      <c r="F57" s="39"/>
      <c r="G57" s="39"/>
      <c r="H57" s="39"/>
      <c r="I57" s="42"/>
      <c r="J57" s="42"/>
      <c r="K57" s="42"/>
      <c r="M57" s="41" t="s">
        <v>143</v>
      </c>
      <c r="N57" s="39"/>
      <c r="O57" s="39"/>
      <c r="P57" s="39"/>
      <c r="Q57" s="39"/>
      <c r="R57" s="39"/>
      <c r="S57" s="39"/>
      <c r="T57" s="39"/>
      <c r="U57" s="39"/>
      <c r="V57" s="39"/>
      <c r="W57" s="39"/>
      <c r="X57" s="39"/>
      <c r="Y57" s="39"/>
      <c r="Z57" s="39"/>
    </row>
    <row r="58" spans="2:26" ht="18.75" customHeight="1" x14ac:dyDescent="0.2">
      <c r="B58" s="46"/>
      <c r="C58" s="40"/>
      <c r="D58" s="40"/>
      <c r="E58" s="40"/>
      <c r="F58" s="40"/>
      <c r="G58" s="40"/>
      <c r="H58" s="40"/>
    </row>
    <row r="59" spans="2:26" x14ac:dyDescent="0.2">
      <c r="B59" s="11" t="s">
        <v>144</v>
      </c>
      <c r="M59" s="11" t="s">
        <v>145</v>
      </c>
    </row>
    <row r="60" spans="2:26" x14ac:dyDescent="0.2">
      <c r="B60" s="112" t="s">
        <v>146</v>
      </c>
      <c r="G60" s="47"/>
      <c r="H60" s="47"/>
    </row>
    <row r="61" spans="2:26" ht="38.1" customHeight="1" thickBot="1" x14ac:dyDescent="0.25">
      <c r="B61" s="110"/>
      <c r="C61" s="113" t="s">
        <v>147</v>
      </c>
      <c r="D61" s="114"/>
      <c r="E61" s="114"/>
      <c r="F61" s="114"/>
      <c r="G61" s="114"/>
      <c r="H61" s="114"/>
      <c r="M61" s="10" t="s">
        <v>148</v>
      </c>
      <c r="U61" s="10" t="s">
        <v>149</v>
      </c>
    </row>
    <row r="62" spans="2:26" ht="48" customHeight="1" thickTop="1" thickBot="1" x14ac:dyDescent="0.25">
      <c r="B62" s="110"/>
      <c r="C62" s="48"/>
      <c r="D62" s="49" t="s">
        <v>150</v>
      </c>
      <c r="E62" s="49" t="s">
        <v>151</v>
      </c>
      <c r="F62" s="49" t="s">
        <v>152</v>
      </c>
      <c r="G62" s="49" t="s">
        <v>153</v>
      </c>
      <c r="H62" s="49" t="s">
        <v>154</v>
      </c>
      <c r="L62" s="111" t="s">
        <v>155</v>
      </c>
      <c r="M62" s="50">
        <v>5</v>
      </c>
      <c r="N62" s="51">
        <f t="array" ref="N62">SUMPRODUCT((RiskAssessment[Likelihood]=$M62)*(RiskAssessment[Impact]=N$67))</f>
        <v>0</v>
      </c>
      <c r="O62" s="51">
        <f t="array" ref="O62">SUMPRODUCT((RiskAssessment[Likelihood]=$M62)*(RiskAssessment[Impact]=O$67))</f>
        <v>0</v>
      </c>
      <c r="P62" s="52">
        <f t="array" ref="P62">SUMPRODUCT((RiskAssessment[Likelihood]=$M62)*(RiskAssessment[Impact]=P$67))</f>
        <v>0</v>
      </c>
      <c r="Q62" s="52">
        <f t="array" ref="Q62">SUMPRODUCT((RiskAssessment[Likelihood]=$M62)*(RiskAssessment[Impact]=Q$67))</f>
        <v>0</v>
      </c>
      <c r="R62" s="52">
        <f t="array" ref="R62">SUMPRODUCT((RiskAssessment[Likelihood]=$M62)*(RiskAssessment[Impact]=R$67))</f>
        <v>0</v>
      </c>
      <c r="S62" s="53"/>
      <c r="T62" s="111" t="s">
        <v>155</v>
      </c>
      <c r="U62" s="50">
        <v>5</v>
      </c>
      <c r="V62" s="51">
        <f t="array" ref="V62">SUMPRODUCT((RiskAssessment[Post-Treatment Likelihood]=$U62)*(RiskAssessment[Post- Treatment Impact]=V$67))</f>
        <v>0</v>
      </c>
      <c r="W62" s="51">
        <f t="array" ref="W62">SUMPRODUCT((RiskAssessment[Post-Treatment Likelihood]=$U62)*(RiskAssessment[Post- Treatment Impact]=W$67))</f>
        <v>0</v>
      </c>
      <c r="X62" s="52">
        <f t="array" ref="X62">SUMPRODUCT((RiskAssessment[Post-Treatment Likelihood]=$U62)*(RiskAssessment[Post- Treatment Impact]=X$67))</f>
        <v>0</v>
      </c>
      <c r="Y62" s="52">
        <f t="array" ref="Y62">SUMPRODUCT((RiskAssessment[Post-Treatment Likelihood]=$U62)*(RiskAssessment[Post- Treatment Impact]=Y$67))</f>
        <v>0</v>
      </c>
      <c r="Z62" s="52">
        <f t="array" ref="Z62">SUMPRODUCT((RiskAssessment[Post-Treatment Likelihood]=$U62)*(RiskAssessment[Post- Treatment Impact]=Z$67))</f>
        <v>0</v>
      </c>
    </row>
    <row r="63" spans="2:26" ht="48" customHeight="1" thickTop="1" thickBot="1" x14ac:dyDescent="0.25">
      <c r="B63" s="110"/>
      <c r="C63" s="49" t="s">
        <v>156</v>
      </c>
      <c r="D63" s="54" t="s">
        <v>157</v>
      </c>
      <c r="E63" s="54" t="s">
        <v>158</v>
      </c>
      <c r="F63" s="55" t="s">
        <v>159</v>
      </c>
      <c r="G63" s="55" t="s">
        <v>160</v>
      </c>
      <c r="H63" s="55" t="s">
        <v>161</v>
      </c>
      <c r="L63" s="110"/>
      <c r="M63" s="56">
        <v>4</v>
      </c>
      <c r="N63" s="57">
        <f t="array" ref="N63">SUMPRODUCT((RiskAssessment[Likelihood]=$M63)*(RiskAssessment[Impact]=N$67))</f>
        <v>0</v>
      </c>
      <c r="O63" s="51">
        <f t="array" ref="O63">SUMPRODUCT((RiskAssessment[Likelihood]=$M63)*(RiskAssessment[Impact]=O$67))</f>
        <v>0</v>
      </c>
      <c r="P63" s="52">
        <f t="array" ref="P63">SUMPRODUCT((RiskAssessment[Likelihood]=$M63)*(RiskAssessment[Impact]=P$67))</f>
        <v>0</v>
      </c>
      <c r="Q63" s="52">
        <f t="array" ref="Q63">SUMPRODUCT((RiskAssessment[Likelihood]=$M63)*(RiskAssessment[Impact]=Q$67))</f>
        <v>0</v>
      </c>
      <c r="R63" s="52">
        <f t="array" ref="R63">SUMPRODUCT((RiskAssessment[Likelihood]=$M63)*(RiskAssessment[Impact]=R$67))</f>
        <v>2</v>
      </c>
      <c r="S63" s="53"/>
      <c r="T63" s="110"/>
      <c r="U63" s="56">
        <v>4</v>
      </c>
      <c r="V63" s="57">
        <f t="array" ref="V63">SUMPRODUCT((RiskAssessment[Post-Treatment Likelihood]=$U63)*(RiskAssessment[Post- Treatment Impact]=V$67))</f>
        <v>0</v>
      </c>
      <c r="W63" s="51">
        <f t="array" ref="W63">SUMPRODUCT((RiskAssessment[Post-Treatment Likelihood]=$U63)*(RiskAssessment[Post- Treatment Impact]=W$67))</f>
        <v>0</v>
      </c>
      <c r="X63" s="52">
        <f t="array" ref="X63">SUMPRODUCT((RiskAssessment[Post-Treatment Likelihood]=$U63)*(RiskAssessment[Post- Treatment Impact]=X$67))</f>
        <v>0</v>
      </c>
      <c r="Y63" s="52">
        <f t="array" ref="Y63">SUMPRODUCT((RiskAssessment[Post-Treatment Likelihood]=$U63)*(RiskAssessment[Post- Treatment Impact]=Y$67))</f>
        <v>0</v>
      </c>
      <c r="Z63" s="52">
        <f t="array" ref="Z63">SUMPRODUCT((RiskAssessment[Post-Treatment Likelihood]=$U63)*(RiskAssessment[Post- Treatment Impact]=Z$67))</f>
        <v>0</v>
      </c>
    </row>
    <row r="64" spans="2:26" ht="48" customHeight="1" thickTop="1" thickBot="1" x14ac:dyDescent="0.25">
      <c r="B64" s="110"/>
      <c r="C64" s="49" t="s">
        <v>162</v>
      </c>
      <c r="D64" s="58" t="s">
        <v>163</v>
      </c>
      <c r="E64" s="54" t="s">
        <v>164</v>
      </c>
      <c r="F64" s="55" t="s">
        <v>165</v>
      </c>
      <c r="G64" s="55" t="s">
        <v>166</v>
      </c>
      <c r="H64" s="55" t="s">
        <v>160</v>
      </c>
      <c r="L64" s="110"/>
      <c r="M64" s="56">
        <v>3</v>
      </c>
      <c r="N64" s="57">
        <f t="array" ref="N64">SUMPRODUCT((RiskAssessment[Likelihood]=$M64)*(RiskAssessment[Impact]=N$67))</f>
        <v>0</v>
      </c>
      <c r="O64" s="51">
        <f t="array" ref="O64">SUMPRODUCT((RiskAssessment[Likelihood]=$M64)*(RiskAssessment[Impact]=O$67))</f>
        <v>0</v>
      </c>
      <c r="P64" s="51">
        <f t="array" ref="P64">SUMPRODUCT((RiskAssessment[Likelihood]=$M64)*(RiskAssessment[Impact]=P$67))</f>
        <v>0</v>
      </c>
      <c r="Q64" s="52">
        <f t="array" ref="Q64">SUMPRODUCT((RiskAssessment[Likelihood]=$M64)*(RiskAssessment[Impact]=Q$67))</f>
        <v>4</v>
      </c>
      <c r="R64" s="52">
        <f t="array" ref="R64">SUMPRODUCT((RiskAssessment[Likelihood]=$M64)*(RiskAssessment[Impact]=R$67))</f>
        <v>1</v>
      </c>
      <c r="S64" s="53"/>
      <c r="T64" s="110"/>
      <c r="U64" s="56">
        <v>3</v>
      </c>
      <c r="V64" s="57">
        <f t="array" ref="V64">SUMPRODUCT((RiskAssessment[Post-Treatment Likelihood]=$U64)*(RiskAssessment[Post- Treatment Impact]=V$67))</f>
        <v>0</v>
      </c>
      <c r="W64" s="51">
        <f t="array" ref="W64">SUMPRODUCT((RiskAssessment[Post-Treatment Likelihood]=$U64)*(RiskAssessment[Post- Treatment Impact]=W$67))</f>
        <v>0</v>
      </c>
      <c r="X64" s="51">
        <f t="array" ref="X64">SUMPRODUCT((RiskAssessment[Post-Treatment Likelihood]=$U64)*(RiskAssessment[Post- Treatment Impact]=X$67))</f>
        <v>0</v>
      </c>
      <c r="Y64" s="52">
        <f t="array" ref="Y64">SUMPRODUCT((RiskAssessment[Post-Treatment Likelihood]=$U64)*(RiskAssessment[Post- Treatment Impact]=Y$67))</f>
        <v>0</v>
      </c>
      <c r="Z64" s="52">
        <f t="array" ref="Z64">SUMPRODUCT((RiskAssessment[Post-Treatment Likelihood]=$U64)*(RiskAssessment[Post- Treatment Impact]=Z$67))</f>
        <v>0</v>
      </c>
    </row>
    <row r="65" spans="2:26" ht="48" customHeight="1" thickTop="1" thickBot="1" x14ac:dyDescent="0.25">
      <c r="B65" s="110"/>
      <c r="C65" s="49" t="s">
        <v>167</v>
      </c>
      <c r="D65" s="58" t="s">
        <v>168</v>
      </c>
      <c r="E65" s="54" t="s">
        <v>169</v>
      </c>
      <c r="F65" s="54" t="s">
        <v>170</v>
      </c>
      <c r="G65" s="55" t="s">
        <v>165</v>
      </c>
      <c r="H65" s="55" t="s">
        <v>159</v>
      </c>
      <c r="L65" s="110"/>
      <c r="M65" s="56">
        <v>2</v>
      </c>
      <c r="N65" s="57">
        <f t="array" ref="N65">SUMPRODUCT((RiskAssessment[Likelihood]=$M65)*(RiskAssessment[Impact]=N$67))</f>
        <v>0</v>
      </c>
      <c r="O65" s="57">
        <f t="array" ref="O65">SUMPRODUCT((RiskAssessment[Likelihood]=$M65)*(RiskAssessment[Impact]=O$67))</f>
        <v>0</v>
      </c>
      <c r="P65" s="51">
        <f t="array" ref="P65">SUMPRODUCT((RiskAssessment[Likelihood]=$M65)*(RiskAssessment[Impact]=P$67))</f>
        <v>0</v>
      </c>
      <c r="Q65" s="51">
        <f t="array" ref="Q65">SUMPRODUCT((RiskAssessment[Likelihood]=$M65)*(RiskAssessment[Impact]=Q$67))</f>
        <v>3</v>
      </c>
      <c r="R65" s="51">
        <f t="array" ref="R65">SUMPRODUCT((RiskAssessment[Likelihood]=$M65)*(RiskAssessment[Impact]=R$67))</f>
        <v>0</v>
      </c>
      <c r="S65" s="53"/>
      <c r="T65" s="110"/>
      <c r="U65" s="56">
        <v>2</v>
      </c>
      <c r="V65" s="57">
        <f t="array" ref="V65">SUMPRODUCT((RiskAssessment[Post-Treatment Likelihood]=$U65)*(RiskAssessment[Post- Treatment Impact]=V$67))</f>
        <v>0</v>
      </c>
      <c r="W65" s="57">
        <f t="array" ref="W65">SUMPRODUCT((RiskAssessment[Post-Treatment Likelihood]=$U65)*(RiskAssessment[Post- Treatment Impact]=W$67))</f>
        <v>2</v>
      </c>
      <c r="X65" s="51">
        <f t="array" ref="X65">SUMPRODUCT((RiskAssessment[Post-Treatment Likelihood]=$U65)*(RiskAssessment[Post- Treatment Impact]=X$67))</f>
        <v>4</v>
      </c>
      <c r="Y65" s="51">
        <f t="array" ref="Y65">SUMPRODUCT((RiskAssessment[Post-Treatment Likelihood]=$U65)*(RiskAssessment[Post- Treatment Impact]=Y$67))</f>
        <v>3</v>
      </c>
      <c r="Z65" s="51">
        <f t="array" ref="Z65">SUMPRODUCT((RiskAssessment[Post-Treatment Likelihood]=$U65)*(RiskAssessment[Post- Treatment Impact]=Z$67))</f>
        <v>0</v>
      </c>
    </row>
    <row r="66" spans="2:26" ht="48" customHeight="1" thickTop="1" thickBot="1" x14ac:dyDescent="0.25">
      <c r="B66" s="110"/>
      <c r="C66" s="49" t="s">
        <v>171</v>
      </c>
      <c r="D66" s="58" t="s">
        <v>172</v>
      </c>
      <c r="E66" s="58" t="s">
        <v>163</v>
      </c>
      <c r="F66" s="54" t="s">
        <v>169</v>
      </c>
      <c r="G66" s="54" t="s">
        <v>164</v>
      </c>
      <c r="H66" s="54" t="s">
        <v>158</v>
      </c>
      <c r="L66" s="110"/>
      <c r="M66" s="56">
        <v>1</v>
      </c>
      <c r="N66" s="57">
        <f t="array" ref="N66">SUMPRODUCT((RiskAssessment[Likelihood]=$M66)*(RiskAssessment[Impact]=N$67))</f>
        <v>0</v>
      </c>
      <c r="O66" s="57">
        <f t="array" ref="O66">SUMPRODUCT((RiskAssessment[Likelihood]=$M66)*(RiskAssessment[Impact]=O$67))</f>
        <v>0</v>
      </c>
      <c r="P66" s="57">
        <f t="array" ref="P66">SUMPRODUCT((RiskAssessment[Likelihood]=$M66)*(RiskAssessment[Impact]=P$67))</f>
        <v>0</v>
      </c>
      <c r="Q66" s="57">
        <f t="array" ref="Q66">SUMPRODUCT((RiskAssessment[Likelihood]=$M66)*(RiskAssessment[Impact]=Q$67))</f>
        <v>0</v>
      </c>
      <c r="R66" s="51">
        <f t="array" ref="R66">SUMPRODUCT((RiskAssessment[Likelihood]=$M66)*(RiskAssessment[Impact]=R$67))</f>
        <v>0</v>
      </c>
      <c r="S66" s="53"/>
      <c r="T66" s="110"/>
      <c r="U66" s="56">
        <v>1</v>
      </c>
      <c r="V66" s="57">
        <f t="array" ref="V66">SUMPRODUCT((RiskAssessment[Post-Treatment Likelihood]=$U66)*(RiskAssessment[Post- Treatment Impact]=V$67))</f>
        <v>0</v>
      </c>
      <c r="W66" s="57">
        <f t="array" ref="W66">SUMPRODUCT((RiskAssessment[Post-Treatment Likelihood]=$U66)*(RiskAssessment[Post- Treatment Impact]=W$67))</f>
        <v>0</v>
      </c>
      <c r="X66" s="57">
        <f t="array" ref="X66">SUMPRODUCT((RiskAssessment[Post-Treatment Likelihood]=$U66)*(RiskAssessment[Post- Treatment Impact]=X$67))</f>
        <v>0</v>
      </c>
      <c r="Y66" s="57">
        <f t="array" ref="Y66">SUMPRODUCT((RiskAssessment[Post-Treatment Likelihood]=$U66)*(RiskAssessment[Post- Treatment Impact]=Y$67))</f>
        <v>0</v>
      </c>
      <c r="Z66" s="51">
        <f t="array" ref="Z66">SUMPRODUCT((RiskAssessment[Post-Treatment Likelihood]=$U66)*(RiskAssessment[Post- Treatment Impact]=Z$67))</f>
        <v>0</v>
      </c>
    </row>
    <row r="67" spans="2:26" ht="48" customHeight="1" thickTop="1" thickBot="1" x14ac:dyDescent="0.25">
      <c r="B67" s="110"/>
      <c r="C67" s="49" t="s">
        <v>173</v>
      </c>
      <c r="D67" s="58" t="s">
        <v>174</v>
      </c>
      <c r="E67" s="58" t="s">
        <v>172</v>
      </c>
      <c r="F67" s="58" t="s">
        <v>168</v>
      </c>
      <c r="G67" s="58" t="s">
        <v>163</v>
      </c>
      <c r="H67" s="54" t="s">
        <v>157</v>
      </c>
      <c r="L67" s="110"/>
      <c r="M67" s="59"/>
      <c r="N67" s="60">
        <v>1</v>
      </c>
      <c r="O67" s="60">
        <v>2</v>
      </c>
      <c r="P67" s="60">
        <v>3</v>
      </c>
      <c r="Q67" s="60">
        <v>4</v>
      </c>
      <c r="R67" s="61">
        <v>5</v>
      </c>
      <c r="S67" s="53"/>
      <c r="T67" s="110"/>
      <c r="U67" s="59"/>
      <c r="V67" s="60">
        <v>1</v>
      </c>
      <c r="W67" s="60">
        <v>2</v>
      </c>
      <c r="X67" s="60">
        <v>3</v>
      </c>
      <c r="Y67" s="60">
        <v>4</v>
      </c>
      <c r="Z67" s="61">
        <v>5</v>
      </c>
    </row>
    <row r="68" spans="2:26" ht="32.25" customHeight="1" thickTop="1" x14ac:dyDescent="0.2">
      <c r="M68" s="109" t="s">
        <v>175</v>
      </c>
      <c r="N68" s="110"/>
      <c r="O68" s="110"/>
      <c r="P68" s="110"/>
      <c r="Q68" s="110"/>
      <c r="R68" s="110"/>
      <c r="S68" s="87"/>
      <c r="U68" s="109" t="s">
        <v>175</v>
      </c>
      <c r="V68" s="110"/>
      <c r="W68" s="110"/>
      <c r="X68" s="110"/>
      <c r="Y68" s="110"/>
      <c r="Z68" s="110"/>
    </row>
    <row r="70" spans="2:26" ht="15" customHeight="1" x14ac:dyDescent="0.2">
      <c r="B70" s="44"/>
      <c r="I70" s="2"/>
      <c r="J70" s="2"/>
      <c r="K70" s="2"/>
      <c r="L70" s="2"/>
    </row>
    <row r="71" spans="2:26" ht="15" customHeight="1" x14ac:dyDescent="0.2">
      <c r="B71" s="44"/>
      <c r="I71" s="3"/>
      <c r="J71" s="3"/>
      <c r="K71" s="3"/>
      <c r="L71" s="3"/>
      <c r="M71" s="3"/>
      <c r="N71" s="3"/>
      <c r="O71" s="3"/>
    </row>
    <row r="72" spans="2:26" ht="18.75" customHeight="1" x14ac:dyDescent="0.25">
      <c r="B72" s="41" t="s">
        <v>176</v>
      </c>
      <c r="C72" s="39"/>
      <c r="D72" s="39"/>
      <c r="E72" s="39"/>
      <c r="F72" s="39"/>
      <c r="G72" s="39"/>
      <c r="H72" s="39"/>
      <c r="I72" s="39"/>
      <c r="J72" s="39"/>
      <c r="K72" s="39"/>
      <c r="L72" s="39"/>
      <c r="M72" s="39"/>
      <c r="N72" s="39"/>
      <c r="O72" s="39"/>
      <c r="P72" s="39"/>
      <c r="Q72" s="39"/>
      <c r="R72" s="39"/>
      <c r="S72" s="39"/>
      <c r="T72" s="39"/>
      <c r="U72" s="39"/>
      <c r="V72" s="39"/>
      <c r="W72" s="42"/>
      <c r="X72" s="42"/>
      <c r="Y72" s="42"/>
      <c r="Z72" s="42"/>
    </row>
  </sheetData>
  <mergeCells count="6">
    <mergeCell ref="U68:Z68"/>
    <mergeCell ref="M68:R68"/>
    <mergeCell ref="T62:T67"/>
    <mergeCell ref="B60:B67"/>
    <mergeCell ref="C61:H61"/>
    <mergeCell ref="L62:L67"/>
  </mergeCells>
  <pageMargins left="0.23622047244094491" right="0.23622047244094491" top="0.39370078740157483" bottom="0.39370078740157483" header="0.19685039370078741" footer="0.19685039370078741"/>
  <pageSetup paperSize="9" scale="34" orientation="landscape" horizontalDpi="360" verticalDpi="36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B4:C15"/>
  <sheetViews>
    <sheetView showGridLines="0" workbookViewId="0">
      <selection activeCell="F8" sqref="F8"/>
    </sheetView>
  </sheetViews>
  <sheetFormatPr defaultRowHeight="15" x14ac:dyDescent="0.2"/>
  <cols>
    <col min="1" max="1" width="2.82421875" customWidth="1"/>
    <col min="2" max="2" width="10.89453125" bestFit="1" customWidth="1"/>
    <col min="3" max="3" width="13.44921875" bestFit="1" customWidth="1"/>
  </cols>
  <sheetData>
    <row r="4" spans="2:3" ht="18.75" customHeight="1" x14ac:dyDescent="0.25">
      <c r="B4" s="23" t="s">
        <v>177</v>
      </c>
    </row>
    <row r="5" spans="2:3" ht="18.75" customHeight="1" x14ac:dyDescent="0.25">
      <c r="B5" s="23"/>
    </row>
    <row r="6" spans="2:3" x14ac:dyDescent="0.2">
      <c r="B6" s="65" t="s">
        <v>178</v>
      </c>
      <c r="C6" s="65" t="s">
        <v>148</v>
      </c>
    </row>
    <row r="7" spans="2:3" x14ac:dyDescent="0.2">
      <c r="B7" t="s">
        <v>179</v>
      </c>
      <c r="C7">
        <f>COUNTIF(RiskAssessment[Risk Level],PreTreatmentRisksByRiskLevel[[#This Row],[Risk level]])</f>
        <v>0</v>
      </c>
    </row>
    <row r="8" spans="2:3" x14ac:dyDescent="0.2">
      <c r="B8" t="s">
        <v>180</v>
      </c>
      <c r="C8">
        <f>COUNTIF(RiskAssessment[Risk Level],PreTreatmentRisksByRiskLevel[[#This Row],[Risk level]])</f>
        <v>3</v>
      </c>
    </row>
    <row r="9" spans="2:3" x14ac:dyDescent="0.2">
      <c r="B9" t="s">
        <v>181</v>
      </c>
      <c r="C9">
        <f>COUNTIF(RiskAssessment[Risk Level],PreTreatmentRisksByRiskLevel[[#This Row],[Risk level]])</f>
        <v>7</v>
      </c>
    </row>
    <row r="10" spans="2:3" ht="15" customHeight="1" x14ac:dyDescent="0.25">
      <c r="B10" s="23"/>
    </row>
    <row r="11" spans="2:3" ht="15" customHeight="1" x14ac:dyDescent="0.25">
      <c r="B11" s="23"/>
    </row>
    <row r="12" spans="2:3" ht="15" customHeight="1" x14ac:dyDescent="0.2">
      <c r="B12" s="39" t="s">
        <v>178</v>
      </c>
      <c r="C12" s="39" t="s">
        <v>182</v>
      </c>
    </row>
    <row r="13" spans="2:3" x14ac:dyDescent="0.2">
      <c r="B13" t="s">
        <v>179</v>
      </c>
      <c r="C13" s="92">
        <v>0</v>
      </c>
    </row>
    <row r="14" spans="2:3" x14ac:dyDescent="0.2">
      <c r="B14" t="s">
        <v>180</v>
      </c>
      <c r="C14" s="92">
        <v>3</v>
      </c>
    </row>
    <row r="15" spans="2:3" x14ac:dyDescent="0.2">
      <c r="B15" t="s">
        <v>181</v>
      </c>
      <c r="C15" s="92">
        <v>7</v>
      </c>
    </row>
  </sheetData>
  <pageMargins left="0.7" right="0.7" top="0.75" bottom="0.75" header="0.3" footer="0.3"/>
  <pageSetup paperSize="9" orientation="portrait" horizontalDpi="360" verticalDpi="36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B4:D16"/>
  <sheetViews>
    <sheetView showGridLines="0" workbookViewId="0"/>
  </sheetViews>
  <sheetFormatPr defaultRowHeight="15" x14ac:dyDescent="0.2"/>
  <cols>
    <col min="1" max="1" width="2.82421875" customWidth="1"/>
    <col min="2" max="2" width="20.984375" bestFit="1" customWidth="1"/>
    <col min="3" max="3" width="19.1015625" bestFit="1" customWidth="1"/>
    <col min="4" max="4" width="9.55078125" bestFit="1" customWidth="1"/>
  </cols>
  <sheetData>
    <row r="4" spans="2:4" ht="18.75" customHeight="1" x14ac:dyDescent="0.25">
      <c r="B4" s="23" t="s">
        <v>183</v>
      </c>
    </row>
    <row r="6" spans="2:4" x14ac:dyDescent="0.2">
      <c r="B6" s="39" t="s">
        <v>32</v>
      </c>
      <c r="C6" s="39" t="s">
        <v>25</v>
      </c>
      <c r="D6" s="39" t="s">
        <v>184</v>
      </c>
    </row>
    <row r="7" spans="2:4" x14ac:dyDescent="0.2">
      <c r="B7" t="s">
        <v>185</v>
      </c>
      <c r="C7" t="s">
        <v>75</v>
      </c>
      <c r="D7" s="92">
        <v>1</v>
      </c>
    </row>
    <row r="8" spans="2:4" x14ac:dyDescent="0.2">
      <c r="C8" t="s">
        <v>53</v>
      </c>
      <c r="D8" s="92">
        <v>1</v>
      </c>
    </row>
    <row r="9" spans="2:4" x14ac:dyDescent="0.2">
      <c r="C9" t="s">
        <v>67</v>
      </c>
      <c r="D9" s="92">
        <v>1</v>
      </c>
    </row>
    <row r="10" spans="2:4" x14ac:dyDescent="0.2">
      <c r="C10" t="s">
        <v>82</v>
      </c>
      <c r="D10" s="92">
        <v>1</v>
      </c>
    </row>
    <row r="11" spans="2:4" x14ac:dyDescent="0.2">
      <c r="C11" t="s">
        <v>109</v>
      </c>
      <c r="D11" s="92">
        <v>1</v>
      </c>
    </row>
    <row r="12" spans="2:4" x14ac:dyDescent="0.2">
      <c r="C12" t="s">
        <v>117</v>
      </c>
      <c r="D12" s="92">
        <v>1</v>
      </c>
    </row>
    <row r="13" spans="2:4" x14ac:dyDescent="0.2">
      <c r="C13" t="s">
        <v>126</v>
      </c>
      <c r="D13" s="92">
        <v>1</v>
      </c>
    </row>
    <row r="14" spans="2:4" x14ac:dyDescent="0.2">
      <c r="B14" t="s">
        <v>186</v>
      </c>
      <c r="C14" t="s">
        <v>92</v>
      </c>
      <c r="D14" s="92">
        <v>1</v>
      </c>
    </row>
    <row r="15" spans="2:4" x14ac:dyDescent="0.2">
      <c r="C15" t="s">
        <v>100</v>
      </c>
      <c r="D15" s="92">
        <v>1</v>
      </c>
    </row>
    <row r="16" spans="2:4" x14ac:dyDescent="0.2">
      <c r="C16" t="s">
        <v>134</v>
      </c>
      <c r="D16" s="92">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4:C15"/>
  <sheetViews>
    <sheetView showGridLines="0" workbookViewId="0"/>
  </sheetViews>
  <sheetFormatPr defaultRowHeight="15" x14ac:dyDescent="0.2"/>
  <cols>
    <col min="1" max="1" width="2.82421875" customWidth="1"/>
    <col min="2" max="2" width="10.89453125" bestFit="1" customWidth="1"/>
    <col min="3" max="3" width="14.390625" bestFit="1" customWidth="1"/>
  </cols>
  <sheetData>
    <row r="4" spans="2:3" ht="18.75" customHeight="1" x14ac:dyDescent="0.25">
      <c r="B4" s="23" t="s">
        <v>187</v>
      </c>
    </row>
    <row r="6" spans="2:3" x14ac:dyDescent="0.2">
      <c r="B6" s="65" t="s">
        <v>178</v>
      </c>
      <c r="C6" s="65" t="s">
        <v>149</v>
      </c>
    </row>
    <row r="7" spans="2:3" x14ac:dyDescent="0.2">
      <c r="B7" t="s">
        <v>179</v>
      </c>
      <c r="C7">
        <f>COUNTIF(RiskAssessment[Post-Treatment Risk Level],RisksByRiskLevelPreandPostTreatment10[[#This Row],[Risk level]])</f>
        <v>3</v>
      </c>
    </row>
    <row r="8" spans="2:3" x14ac:dyDescent="0.2">
      <c r="B8" t="s">
        <v>180</v>
      </c>
      <c r="C8">
        <f>COUNTIF(RiskAssessment[Post-Treatment Risk Level],RisksByRiskLevelPreandPostTreatment10[[#This Row],[Risk level]])</f>
        <v>7</v>
      </c>
    </row>
    <row r="9" spans="2:3" x14ac:dyDescent="0.2">
      <c r="B9" t="s">
        <v>181</v>
      </c>
      <c r="C9">
        <f>COUNTIF(RiskAssessment[Post-Treatment Risk Level],RisksByRiskLevelPreandPostTreatment10[[#This Row],[Risk level]])</f>
        <v>0</v>
      </c>
    </row>
    <row r="10" spans="2:3" ht="18.75" customHeight="1" x14ac:dyDescent="0.25">
      <c r="B10" s="23"/>
    </row>
    <row r="12" spans="2:3" x14ac:dyDescent="0.2">
      <c r="B12" s="39" t="s">
        <v>178</v>
      </c>
      <c r="C12" s="39" t="s">
        <v>188</v>
      </c>
    </row>
    <row r="13" spans="2:3" x14ac:dyDescent="0.2">
      <c r="B13" t="s">
        <v>179</v>
      </c>
      <c r="C13" s="92">
        <v>3</v>
      </c>
    </row>
    <row r="14" spans="2:3" x14ac:dyDescent="0.2">
      <c r="B14" t="s">
        <v>180</v>
      </c>
      <c r="C14" s="92">
        <v>7</v>
      </c>
    </row>
    <row r="15" spans="2:3" x14ac:dyDescent="0.2">
      <c r="B15" t="s">
        <v>181</v>
      </c>
      <c r="C15" s="92">
        <v>0</v>
      </c>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B4:D16"/>
  <sheetViews>
    <sheetView showGridLines="0" workbookViewId="0">
      <selection activeCell="F8" sqref="F8"/>
    </sheetView>
  </sheetViews>
  <sheetFormatPr defaultRowHeight="15" x14ac:dyDescent="0.2"/>
  <cols>
    <col min="1" max="1" width="2.82421875" customWidth="1"/>
    <col min="2" max="2" width="10.89453125" bestFit="1" customWidth="1"/>
    <col min="3" max="3" width="13.44921875" bestFit="1" customWidth="1"/>
    <col min="4" max="4" width="14.390625" bestFit="1" customWidth="1"/>
  </cols>
  <sheetData>
    <row r="4" spans="2:4" ht="18.75" customHeight="1" x14ac:dyDescent="0.2">
      <c r="B4" s="66" t="s">
        <v>189</v>
      </c>
    </row>
    <row r="6" spans="2:4" x14ac:dyDescent="0.2">
      <c r="B6" s="65" t="s">
        <v>178</v>
      </c>
      <c r="C6" s="65" t="s">
        <v>148</v>
      </c>
      <c r="D6" s="65" t="s">
        <v>149</v>
      </c>
    </row>
    <row r="7" spans="2:4" x14ac:dyDescent="0.2">
      <c r="B7" t="s">
        <v>179</v>
      </c>
      <c r="C7">
        <f>COUNTIF(RiskAssessment[Risk Level],PreMitigationRisksByRiskLevel10[[#This Row],[Risk level]])</f>
        <v>0</v>
      </c>
      <c r="D7">
        <f>COUNTIF(RiskAssessment[Post-Treatment Risk Level],PreMitigationRisksByRiskLevel10[[#This Row],[Risk level]])</f>
        <v>3</v>
      </c>
    </row>
    <row r="8" spans="2:4" x14ac:dyDescent="0.2">
      <c r="B8" t="s">
        <v>180</v>
      </c>
      <c r="C8">
        <f>COUNTIF(RiskAssessment[Risk Level],PreMitigationRisksByRiskLevel10[[#This Row],[Risk level]])</f>
        <v>3</v>
      </c>
      <c r="D8">
        <f>COUNTIF(RiskAssessment[Post-Treatment Risk Level],PreMitigationRisksByRiskLevel10[[#This Row],[Risk level]])</f>
        <v>7</v>
      </c>
    </row>
    <row r="9" spans="2:4" x14ac:dyDescent="0.2">
      <c r="B9" t="s">
        <v>181</v>
      </c>
      <c r="C9">
        <f>COUNTIF(RiskAssessment[Risk Level],PreMitigationRisksByRiskLevel10[[#This Row],[Risk level]])</f>
        <v>7</v>
      </c>
      <c r="D9">
        <f>COUNTIF(RiskAssessment[Post-Treatment Risk Level],PreMitigationRisksByRiskLevel10[[#This Row],[Risk level]])</f>
        <v>0</v>
      </c>
    </row>
    <row r="12" spans="2:4" x14ac:dyDescent="0.2">
      <c r="C12" s="91" t="s">
        <v>767</v>
      </c>
    </row>
    <row r="13" spans="2:4" x14ac:dyDescent="0.2">
      <c r="B13" s="39" t="s">
        <v>178</v>
      </c>
      <c r="C13" s="39" t="s">
        <v>182</v>
      </c>
      <c r="D13" s="39" t="s">
        <v>188</v>
      </c>
    </row>
    <row r="14" spans="2:4" x14ac:dyDescent="0.2">
      <c r="B14" t="s">
        <v>179</v>
      </c>
      <c r="C14" s="92">
        <v>0</v>
      </c>
      <c r="D14" s="92">
        <v>3</v>
      </c>
    </row>
    <row r="15" spans="2:4" x14ac:dyDescent="0.2">
      <c r="B15" t="s">
        <v>180</v>
      </c>
      <c r="C15" s="92">
        <v>3</v>
      </c>
      <c r="D15" s="92">
        <v>7</v>
      </c>
    </row>
    <row r="16" spans="2:4" x14ac:dyDescent="0.2">
      <c r="B16" t="s">
        <v>181</v>
      </c>
      <c r="C16" s="92">
        <v>7</v>
      </c>
      <c r="D16" s="92">
        <v>0</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B4:C7"/>
  <sheetViews>
    <sheetView showGridLines="0" workbookViewId="0"/>
  </sheetViews>
  <sheetFormatPr defaultRowHeight="15" x14ac:dyDescent="0.2"/>
  <cols>
    <col min="1" max="1" width="2.82421875" customWidth="1"/>
    <col min="2" max="2" width="25.15234375" bestFit="1" customWidth="1"/>
    <col min="3" max="3" width="19.1015625" bestFit="1" customWidth="1"/>
  </cols>
  <sheetData>
    <row r="4" spans="2:3" ht="18.75" customHeight="1" x14ac:dyDescent="0.25">
      <c r="B4" s="23" t="s">
        <v>190</v>
      </c>
    </row>
    <row r="6" spans="2:3" x14ac:dyDescent="0.2">
      <c r="B6" s="39" t="s">
        <v>33</v>
      </c>
      <c r="C6" s="39" t="s">
        <v>191</v>
      </c>
    </row>
    <row r="7" spans="2:3" x14ac:dyDescent="0.2">
      <c r="B7" t="s">
        <v>56</v>
      </c>
      <c r="C7" s="92">
        <v>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4:C8"/>
  <sheetViews>
    <sheetView showGridLines="0" workbookViewId="0"/>
  </sheetViews>
  <sheetFormatPr defaultRowHeight="15" x14ac:dyDescent="0.2"/>
  <cols>
    <col min="1" max="1" width="2.82421875" customWidth="1"/>
    <col min="2" max="2" width="11.296875" bestFit="1" customWidth="1"/>
    <col min="3" max="3" width="20.58203125" bestFit="1" customWidth="1"/>
  </cols>
  <sheetData>
    <row r="4" spans="2:3" ht="18.75" customHeight="1" x14ac:dyDescent="0.25">
      <c r="B4" s="23" t="s">
        <v>194</v>
      </c>
    </row>
    <row r="6" spans="2:3" x14ac:dyDescent="0.2">
      <c r="B6" s="39" t="s">
        <v>32</v>
      </c>
      <c r="C6" s="39" t="s">
        <v>195</v>
      </c>
    </row>
    <row r="7" spans="2:3" x14ac:dyDescent="0.2">
      <c r="B7" t="s">
        <v>186</v>
      </c>
      <c r="C7" s="67">
        <v>0</v>
      </c>
    </row>
    <row r="8" spans="2:3" x14ac:dyDescent="0.2">
      <c r="B8" t="s">
        <v>185</v>
      </c>
      <c r="C8" s="67">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dimension ref="B4:D17"/>
  <sheetViews>
    <sheetView showGridLines="0" workbookViewId="0"/>
  </sheetViews>
  <sheetFormatPr defaultRowHeight="15" x14ac:dyDescent="0.2"/>
  <cols>
    <col min="1" max="1" width="2.82421875" customWidth="1"/>
    <col min="2" max="2" width="29.99609375" bestFit="1" customWidth="1"/>
    <col min="3" max="3" width="11.296875" bestFit="1" customWidth="1"/>
    <col min="4" max="4" width="5.6484375" bestFit="1" customWidth="1"/>
    <col min="5" max="5" width="5.24609375" bestFit="1" customWidth="1"/>
    <col min="6" max="6" width="10.35546875" bestFit="1" customWidth="1"/>
    <col min="7" max="7" width="11.296875" bestFit="1" customWidth="1"/>
  </cols>
  <sheetData>
    <row r="4" spans="2:4" ht="18.75" customHeight="1" x14ac:dyDescent="0.25">
      <c r="B4" s="23" t="s">
        <v>196</v>
      </c>
    </row>
    <row r="6" spans="2:4" x14ac:dyDescent="0.2">
      <c r="B6" s="39" t="s">
        <v>197</v>
      </c>
      <c r="C6" s="39" t="s">
        <v>32</v>
      </c>
      <c r="D6" s="39"/>
    </row>
    <row r="7" spans="2:4" x14ac:dyDescent="0.2">
      <c r="B7" s="39" t="s">
        <v>37</v>
      </c>
      <c r="C7" s="39" t="s">
        <v>186</v>
      </c>
      <c r="D7" s="39" t="s">
        <v>185</v>
      </c>
    </row>
    <row r="8" spans="2:4" x14ac:dyDescent="0.2">
      <c r="B8" t="s">
        <v>75</v>
      </c>
      <c r="C8" s="92"/>
      <c r="D8" s="92">
        <v>1</v>
      </c>
    </row>
    <row r="9" spans="2:4" x14ac:dyDescent="0.2">
      <c r="B9" t="s">
        <v>53</v>
      </c>
      <c r="C9" s="92"/>
      <c r="D9" s="92">
        <v>1</v>
      </c>
    </row>
    <row r="10" spans="2:4" x14ac:dyDescent="0.2">
      <c r="B10" t="s">
        <v>67</v>
      </c>
      <c r="C10" s="92"/>
      <c r="D10" s="92">
        <v>1</v>
      </c>
    </row>
    <row r="11" spans="2:4" x14ac:dyDescent="0.2">
      <c r="B11" t="s">
        <v>82</v>
      </c>
      <c r="C11" s="92"/>
      <c r="D11" s="92">
        <v>1</v>
      </c>
    </row>
    <row r="12" spans="2:4" x14ac:dyDescent="0.2">
      <c r="B12" t="s">
        <v>92</v>
      </c>
      <c r="C12" s="92">
        <v>1</v>
      </c>
      <c r="D12" s="92"/>
    </row>
    <row r="13" spans="2:4" x14ac:dyDescent="0.2">
      <c r="B13" t="s">
        <v>100</v>
      </c>
      <c r="C13" s="92">
        <v>1</v>
      </c>
      <c r="D13" s="92"/>
    </row>
    <row r="14" spans="2:4" x14ac:dyDescent="0.2">
      <c r="B14" t="s">
        <v>109</v>
      </c>
      <c r="C14" s="92"/>
      <c r="D14" s="92">
        <v>1</v>
      </c>
    </row>
    <row r="15" spans="2:4" x14ac:dyDescent="0.2">
      <c r="B15" t="s">
        <v>117</v>
      </c>
      <c r="C15" s="92"/>
      <c r="D15" s="92">
        <v>1</v>
      </c>
    </row>
    <row r="16" spans="2:4" x14ac:dyDescent="0.2">
      <c r="B16" t="s">
        <v>126</v>
      </c>
      <c r="C16" s="92"/>
      <c r="D16" s="92">
        <v>1</v>
      </c>
    </row>
    <row r="17" spans="2:4" x14ac:dyDescent="0.2">
      <c r="B17" t="s">
        <v>134</v>
      </c>
      <c r="C17" s="92">
        <v>1</v>
      </c>
      <c r="D17" s="9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dimension ref="A2:C114"/>
  <sheetViews>
    <sheetView showGridLines="0" topLeftCell="A58" zoomScaleNormal="100" workbookViewId="0">
      <selection activeCell="B11" sqref="B11"/>
    </sheetView>
  </sheetViews>
  <sheetFormatPr defaultColWidth="9.14453125" defaultRowHeight="15" x14ac:dyDescent="0.2"/>
  <cols>
    <col min="1" max="1" width="2.82421875" style="3" customWidth="1"/>
    <col min="2" max="2" width="103.04296875" style="3" customWidth="1"/>
    <col min="3" max="3" width="9.953125" style="3" customWidth="1"/>
    <col min="4" max="4" width="9.14453125" style="3" customWidth="1"/>
    <col min="5" max="16384" width="9.14453125" style="3"/>
  </cols>
  <sheetData>
    <row r="2" spans="2:3" x14ac:dyDescent="0.2">
      <c r="B2" s="4"/>
    </row>
    <row r="3" spans="2:3" x14ac:dyDescent="0.2">
      <c r="B3" s="4"/>
    </row>
    <row r="4" spans="2:3" x14ac:dyDescent="0.2">
      <c r="B4" s="4"/>
    </row>
    <row r="5" spans="2:3" x14ac:dyDescent="0.2">
      <c r="B5" s="4"/>
    </row>
    <row r="6" spans="2:3" x14ac:dyDescent="0.2">
      <c r="B6" s="4"/>
    </row>
    <row r="7" spans="2:3" x14ac:dyDescent="0.2">
      <c r="B7" s="4"/>
    </row>
    <row r="8" spans="2:3" ht="21" customHeight="1" x14ac:dyDescent="0.2">
      <c r="B8" s="10" t="s">
        <v>198</v>
      </c>
      <c r="C8" s="11"/>
    </row>
    <row r="9" spans="2:3" x14ac:dyDescent="0.2">
      <c r="B9" s="11" t="s">
        <v>199</v>
      </c>
      <c r="C9" s="11"/>
    </row>
    <row r="10" spans="2:3" x14ac:dyDescent="0.2">
      <c r="B10" s="11"/>
      <c r="C10" s="11"/>
    </row>
    <row r="11" spans="2:3" ht="21" customHeight="1" x14ac:dyDescent="0.2">
      <c r="B11" s="32" t="s">
        <v>200</v>
      </c>
    </row>
    <row r="13" spans="2:3" ht="18.75" customHeight="1" x14ac:dyDescent="0.2">
      <c r="B13" s="31" t="s">
        <v>201</v>
      </c>
    </row>
    <row r="14" spans="2:3" ht="18" customHeight="1" x14ac:dyDescent="0.2">
      <c r="B14" s="2" t="s">
        <v>202</v>
      </c>
    </row>
    <row r="15" spans="2:3" x14ac:dyDescent="0.2">
      <c r="B15" s="2" t="s">
        <v>203</v>
      </c>
    </row>
    <row r="16" spans="2:3" x14ac:dyDescent="0.2">
      <c r="B16" s="2" t="s">
        <v>204</v>
      </c>
    </row>
    <row r="17" spans="2:2" x14ac:dyDescent="0.2">
      <c r="B17" s="2" t="s">
        <v>205</v>
      </c>
    </row>
    <row r="18" spans="2:2" x14ac:dyDescent="0.2">
      <c r="B18" s="2" t="s">
        <v>206</v>
      </c>
    </row>
    <row r="19" spans="2:2" x14ac:dyDescent="0.2">
      <c r="B19" s="2" t="s">
        <v>207</v>
      </c>
    </row>
    <row r="20" spans="2:2" x14ac:dyDescent="0.2">
      <c r="B20" s="2" t="s">
        <v>208</v>
      </c>
    </row>
    <row r="21" spans="2:2" x14ac:dyDescent="0.2">
      <c r="B21" s="2" t="s">
        <v>209</v>
      </c>
    </row>
    <row r="22" spans="2:2" x14ac:dyDescent="0.2">
      <c r="B22" s="2" t="s">
        <v>210</v>
      </c>
    </row>
    <row r="23" spans="2:2" x14ac:dyDescent="0.2">
      <c r="B23" s="2" t="s">
        <v>211</v>
      </c>
    </row>
    <row r="24" spans="2:2" x14ac:dyDescent="0.2">
      <c r="B24" s="2" t="s">
        <v>212</v>
      </c>
    </row>
    <row r="25" spans="2:2" x14ac:dyDescent="0.2">
      <c r="B25" s="2" t="s">
        <v>213</v>
      </c>
    </row>
    <row r="26" spans="2:2" x14ac:dyDescent="0.2">
      <c r="B26" s="2" t="s">
        <v>214</v>
      </c>
    </row>
    <row r="27" spans="2:2" x14ac:dyDescent="0.2">
      <c r="B27" s="2" t="s">
        <v>215</v>
      </c>
    </row>
    <row r="28" spans="2:2" x14ac:dyDescent="0.2">
      <c r="B28" s="2" t="s">
        <v>216</v>
      </c>
    </row>
    <row r="29" spans="2:2" x14ac:dyDescent="0.2">
      <c r="B29" s="2" t="s">
        <v>217</v>
      </c>
    </row>
    <row r="30" spans="2:2" x14ac:dyDescent="0.2">
      <c r="B30" s="2" t="s">
        <v>218</v>
      </c>
    </row>
    <row r="31" spans="2:2" x14ac:dyDescent="0.2">
      <c r="B31" s="2" t="s">
        <v>112</v>
      </c>
    </row>
    <row r="32" spans="2:2" x14ac:dyDescent="0.2">
      <c r="B32" s="2" t="s">
        <v>120</v>
      </c>
    </row>
    <row r="33" spans="2:2" x14ac:dyDescent="0.2">
      <c r="B33" s="2" t="s">
        <v>219</v>
      </c>
    </row>
    <row r="34" spans="2:2" x14ac:dyDescent="0.2">
      <c r="B34" s="2" t="s">
        <v>220</v>
      </c>
    </row>
    <row r="35" spans="2:2" x14ac:dyDescent="0.2">
      <c r="B35" s="2" t="s">
        <v>221</v>
      </c>
    </row>
    <row r="36" spans="2:2" x14ac:dyDescent="0.2">
      <c r="B36" s="2" t="s">
        <v>222</v>
      </c>
    </row>
    <row r="37" spans="2:2" x14ac:dyDescent="0.2">
      <c r="B37" s="2" t="s">
        <v>223</v>
      </c>
    </row>
    <row r="38" spans="2:2" x14ac:dyDescent="0.2">
      <c r="B38" s="2" t="s">
        <v>224</v>
      </c>
    </row>
    <row r="39" spans="2:2" x14ac:dyDescent="0.2">
      <c r="B39" s="2" t="s">
        <v>225</v>
      </c>
    </row>
    <row r="40" spans="2:2" ht="18.75" customHeight="1" x14ac:dyDescent="0.2">
      <c r="B40" s="2" t="s">
        <v>226</v>
      </c>
    </row>
    <row r="41" spans="2:2" x14ac:dyDescent="0.2">
      <c r="B41" s="2" t="s">
        <v>227</v>
      </c>
    </row>
    <row r="42" spans="2:2" x14ac:dyDescent="0.2">
      <c r="B42" s="2" t="s">
        <v>228</v>
      </c>
    </row>
    <row r="43" spans="2:2" x14ac:dyDescent="0.2">
      <c r="B43" s="2" t="s">
        <v>229</v>
      </c>
    </row>
    <row r="44" spans="2:2" x14ac:dyDescent="0.2">
      <c r="B44" s="2" t="s">
        <v>230</v>
      </c>
    </row>
    <row r="45" spans="2:2" x14ac:dyDescent="0.2">
      <c r="B45" s="2" t="s">
        <v>231</v>
      </c>
    </row>
    <row r="46" spans="2:2" x14ac:dyDescent="0.2">
      <c r="B46" s="2" t="s">
        <v>232</v>
      </c>
    </row>
    <row r="47" spans="2:2" x14ac:dyDescent="0.2">
      <c r="B47" s="2" t="s">
        <v>233</v>
      </c>
    </row>
    <row r="48" spans="2:2" x14ac:dyDescent="0.2">
      <c r="B48" s="2" t="s">
        <v>234</v>
      </c>
    </row>
    <row r="49" spans="1:2" x14ac:dyDescent="0.2">
      <c r="B49" s="2" t="s">
        <v>235</v>
      </c>
    </row>
    <row r="50" spans="1:2" x14ac:dyDescent="0.2">
      <c r="B50" s="2" t="s">
        <v>236</v>
      </c>
    </row>
    <row r="51" spans="1:2" x14ac:dyDescent="0.2">
      <c r="B51" s="7"/>
    </row>
    <row r="52" spans="1:2" ht="18.75" customHeight="1" x14ac:dyDescent="0.2">
      <c r="B52" s="31" t="s">
        <v>237</v>
      </c>
    </row>
    <row r="53" spans="1:2" x14ac:dyDescent="0.2">
      <c r="B53" s="2" t="s">
        <v>238</v>
      </c>
    </row>
    <row r="54" spans="1:2" x14ac:dyDescent="0.2">
      <c r="B54" s="2" t="s">
        <v>239</v>
      </c>
    </row>
    <row r="55" spans="1:2" x14ac:dyDescent="0.2">
      <c r="B55" s="2" t="s">
        <v>240</v>
      </c>
    </row>
    <row r="56" spans="1:2" x14ac:dyDescent="0.2">
      <c r="B56" s="2" t="s">
        <v>241</v>
      </c>
    </row>
    <row r="57" spans="1:2" x14ac:dyDescent="0.2">
      <c r="B57" s="2" t="s">
        <v>242</v>
      </c>
    </row>
    <row r="58" spans="1:2" x14ac:dyDescent="0.2">
      <c r="B58" s="2" t="s">
        <v>243</v>
      </c>
    </row>
    <row r="59" spans="1:2" x14ac:dyDescent="0.2">
      <c r="B59" s="2" t="s">
        <v>244</v>
      </c>
    </row>
    <row r="60" spans="1:2" x14ac:dyDescent="0.2">
      <c r="B60" s="2" t="s">
        <v>245</v>
      </c>
    </row>
    <row r="61" spans="1:2" x14ac:dyDescent="0.2">
      <c r="B61" s="7"/>
    </row>
    <row r="62" spans="1:2" ht="18.75" customHeight="1" x14ac:dyDescent="0.2">
      <c r="B62" s="31" t="s">
        <v>246</v>
      </c>
    </row>
    <row r="63" spans="1:2" ht="15.75" customHeight="1" x14ac:dyDescent="0.2">
      <c r="A63" s="22"/>
      <c r="B63" s="2" t="s">
        <v>247</v>
      </c>
    </row>
    <row r="64" spans="1:2" x14ac:dyDescent="0.2">
      <c r="B64" s="2" t="s">
        <v>248</v>
      </c>
    </row>
    <row r="65" spans="2:2" x14ac:dyDescent="0.2">
      <c r="B65" s="2" t="s">
        <v>249</v>
      </c>
    </row>
    <row r="66" spans="2:2" x14ac:dyDescent="0.2">
      <c r="B66" s="2" t="s">
        <v>250</v>
      </c>
    </row>
    <row r="67" spans="2:2" x14ac:dyDescent="0.2">
      <c r="B67" s="2" t="s">
        <v>251</v>
      </c>
    </row>
    <row r="68" spans="2:2" x14ac:dyDescent="0.2">
      <c r="B68" s="2" t="s">
        <v>252</v>
      </c>
    </row>
    <row r="69" spans="2:2" x14ac:dyDescent="0.2">
      <c r="B69" s="2" t="s">
        <v>253</v>
      </c>
    </row>
    <row r="70" spans="2:2" x14ac:dyDescent="0.2">
      <c r="B70" s="2" t="s">
        <v>254</v>
      </c>
    </row>
    <row r="71" spans="2:2" x14ac:dyDescent="0.2">
      <c r="B71" s="2" t="s">
        <v>255</v>
      </c>
    </row>
    <row r="72" spans="2:2" ht="16.5" customHeight="1" x14ac:dyDescent="0.2">
      <c r="B72" s="2" t="s">
        <v>256</v>
      </c>
    </row>
    <row r="73" spans="2:2" x14ac:dyDescent="0.2">
      <c r="B73" s="2" t="s">
        <v>257</v>
      </c>
    </row>
    <row r="74" spans="2:2" x14ac:dyDescent="0.2">
      <c r="B74" s="2" t="s">
        <v>258</v>
      </c>
    </row>
    <row r="75" spans="2:2" x14ac:dyDescent="0.2">
      <c r="B75" s="2" t="s">
        <v>259</v>
      </c>
    </row>
    <row r="76" spans="2:2" x14ac:dyDescent="0.2">
      <c r="B76" s="2" t="s">
        <v>260</v>
      </c>
    </row>
    <row r="77" spans="2:2" ht="15.75" customHeight="1" x14ac:dyDescent="0.2">
      <c r="B77" s="33"/>
    </row>
    <row r="78" spans="2:2" ht="18.75" customHeight="1" x14ac:dyDescent="0.2">
      <c r="B78" s="31" t="s">
        <v>261</v>
      </c>
    </row>
    <row r="79" spans="2:2" x14ac:dyDescent="0.2">
      <c r="B79" s="2" t="s">
        <v>129</v>
      </c>
    </row>
    <row r="80" spans="2:2" x14ac:dyDescent="0.2">
      <c r="B80" s="2" t="s">
        <v>262</v>
      </c>
    </row>
    <row r="81" spans="2:2" x14ac:dyDescent="0.2">
      <c r="B81" s="2" t="s">
        <v>263</v>
      </c>
    </row>
    <row r="82" spans="2:2" x14ac:dyDescent="0.2">
      <c r="B82" s="2" t="s">
        <v>264</v>
      </c>
    </row>
    <row r="83" spans="2:2" x14ac:dyDescent="0.2">
      <c r="B83" s="2" t="s">
        <v>265</v>
      </c>
    </row>
    <row r="84" spans="2:2" x14ac:dyDescent="0.2">
      <c r="B84" s="2" t="s">
        <v>266</v>
      </c>
    </row>
    <row r="85" spans="2:2" x14ac:dyDescent="0.2">
      <c r="B85" s="2" t="s">
        <v>267</v>
      </c>
    </row>
    <row r="86" spans="2:2" x14ac:dyDescent="0.2">
      <c r="B86" s="2" t="s">
        <v>268</v>
      </c>
    </row>
    <row r="87" spans="2:2" x14ac:dyDescent="0.2">
      <c r="B87" s="2" t="s">
        <v>269</v>
      </c>
    </row>
    <row r="88" spans="2:2" x14ac:dyDescent="0.2">
      <c r="B88" s="2" t="s">
        <v>270</v>
      </c>
    </row>
    <row r="89" spans="2:2" x14ac:dyDescent="0.2">
      <c r="B89" s="2" t="s">
        <v>271</v>
      </c>
    </row>
    <row r="90" spans="2:2" x14ac:dyDescent="0.2">
      <c r="B90" s="2" t="s">
        <v>272</v>
      </c>
    </row>
    <row r="91" spans="2:2" x14ac:dyDescent="0.2">
      <c r="B91" s="2" t="s">
        <v>273</v>
      </c>
    </row>
    <row r="92" spans="2:2" x14ac:dyDescent="0.2">
      <c r="B92" s="2" t="s">
        <v>274</v>
      </c>
    </row>
    <row r="93" spans="2:2" x14ac:dyDescent="0.2">
      <c r="B93" s="2" t="s">
        <v>85</v>
      </c>
    </row>
    <row r="94" spans="2:2" x14ac:dyDescent="0.2">
      <c r="B94" s="2" t="s">
        <v>137</v>
      </c>
    </row>
    <row r="95" spans="2:2" x14ac:dyDescent="0.2">
      <c r="B95" s="2" t="s">
        <v>275</v>
      </c>
    </row>
    <row r="96" spans="2:2" x14ac:dyDescent="0.2">
      <c r="B96" s="2" t="s">
        <v>276</v>
      </c>
    </row>
    <row r="97" spans="2:2" x14ac:dyDescent="0.2">
      <c r="B97" s="2" t="s">
        <v>277</v>
      </c>
    </row>
    <row r="98" spans="2:2" x14ac:dyDescent="0.2">
      <c r="B98" s="2" t="s">
        <v>278</v>
      </c>
    </row>
    <row r="99" spans="2:2" x14ac:dyDescent="0.2">
      <c r="B99" s="2" t="s">
        <v>279</v>
      </c>
    </row>
    <row r="100" spans="2:2" ht="15" customHeight="1" x14ac:dyDescent="0.2">
      <c r="B100" s="2" t="s">
        <v>280</v>
      </c>
    </row>
    <row r="101" spans="2:2" x14ac:dyDescent="0.2">
      <c r="B101" s="2" t="s">
        <v>281</v>
      </c>
    </row>
    <row r="102" spans="2:2" x14ac:dyDescent="0.2">
      <c r="B102" s="2" t="s">
        <v>58</v>
      </c>
    </row>
    <row r="103" spans="2:2" x14ac:dyDescent="0.2">
      <c r="B103" s="2" t="s">
        <v>282</v>
      </c>
    </row>
    <row r="104" spans="2:2" x14ac:dyDescent="0.2">
      <c r="B104" s="2" t="s">
        <v>283</v>
      </c>
    </row>
    <row r="105" spans="2:2" x14ac:dyDescent="0.2">
      <c r="B105" s="2" t="s">
        <v>284</v>
      </c>
    </row>
    <row r="106" spans="2:2" x14ac:dyDescent="0.2">
      <c r="B106" s="2" t="s">
        <v>70</v>
      </c>
    </row>
    <row r="107" spans="2:2" x14ac:dyDescent="0.2">
      <c r="B107" s="2" t="s">
        <v>285</v>
      </c>
    </row>
    <row r="108" spans="2:2" x14ac:dyDescent="0.2">
      <c r="B108" s="2" t="s">
        <v>286</v>
      </c>
    </row>
    <row r="109" spans="2:2" x14ac:dyDescent="0.2">
      <c r="B109" s="2" t="s">
        <v>287</v>
      </c>
    </row>
    <row r="110" spans="2:2" x14ac:dyDescent="0.2">
      <c r="B110" s="2" t="s">
        <v>95</v>
      </c>
    </row>
    <row r="111" spans="2:2" x14ac:dyDescent="0.2">
      <c r="B111" s="2" t="s">
        <v>288</v>
      </c>
    </row>
    <row r="112" spans="2:2" x14ac:dyDescent="0.2">
      <c r="B112" s="2" t="s">
        <v>289</v>
      </c>
    </row>
    <row r="113" spans="2:2" x14ac:dyDescent="0.2">
      <c r="B113" s="7"/>
    </row>
    <row r="114" spans="2:2" ht="15.75" customHeight="1" thickBot="1" x14ac:dyDescent="0.25">
      <c r="B114" s="84"/>
    </row>
  </sheetData>
  <pageMargins left="0.70866141732283472" right="0.70866141732283472" top="0.74803149606299213" bottom="0.74803149606299213" header="0.31496062992125978" footer="0.31496062992125978"/>
  <pageSetup paperSize="9" scale="69" orientation="portrait" horizontalDpi="1200" verticalDpi="1200"/>
  <headerFooter>
    <oddFooter>&amp;L&amp;D&amp;CPage &amp;P of &amp;N&amp;R[Insert classification]</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2:G160"/>
  <sheetViews>
    <sheetView showGridLines="0" workbookViewId="0">
      <selection activeCell="E9" sqref="E9"/>
    </sheetView>
  </sheetViews>
  <sheetFormatPr defaultColWidth="9.14453125" defaultRowHeight="15" x14ac:dyDescent="0.2"/>
  <cols>
    <col min="1" max="1" width="2.82421875" style="20" customWidth="1"/>
    <col min="2" max="2" width="4.3046875" style="20" customWidth="1"/>
    <col min="3" max="3" width="22.328125" style="20" customWidth="1"/>
    <col min="4" max="4" width="57.03515625" style="20" customWidth="1"/>
    <col min="5" max="5" width="62.55078125" style="20" customWidth="1"/>
    <col min="6" max="6" width="23.67578125" style="20" customWidth="1"/>
    <col min="7" max="7" width="29.0546875" style="20" customWidth="1"/>
    <col min="8" max="8" width="9.14453125" style="20" customWidth="1"/>
    <col min="9" max="16384" width="9.14453125" style="20"/>
  </cols>
  <sheetData>
    <row r="2" spans="2:7" x14ac:dyDescent="0.2">
      <c r="B2" s="19"/>
      <c r="C2" s="19"/>
    </row>
    <row r="3" spans="2:7" x14ac:dyDescent="0.2">
      <c r="B3" s="19"/>
      <c r="C3" s="19"/>
    </row>
    <row r="4" spans="2:7" x14ac:dyDescent="0.2">
      <c r="B4" s="19"/>
      <c r="C4" s="19"/>
    </row>
    <row r="5" spans="2:7" x14ac:dyDescent="0.2">
      <c r="B5" s="19"/>
      <c r="C5" s="19"/>
    </row>
    <row r="6" spans="2:7" x14ac:dyDescent="0.2">
      <c r="B6" s="19"/>
      <c r="C6" s="19"/>
    </row>
    <row r="7" spans="2:7" x14ac:dyDescent="0.2">
      <c r="B7" s="19"/>
      <c r="C7" s="19"/>
    </row>
    <row r="8" spans="2:7" ht="21" customHeight="1" x14ac:dyDescent="0.2">
      <c r="B8" s="21" t="s">
        <v>290</v>
      </c>
      <c r="C8" s="21"/>
      <c r="D8" s="69"/>
    </row>
    <row r="9" spans="2:7" x14ac:dyDescent="0.2">
      <c r="B9" s="69" t="s">
        <v>291</v>
      </c>
      <c r="C9" s="69"/>
      <c r="D9" s="69"/>
    </row>
    <row r="10" spans="2:7" x14ac:dyDescent="0.2">
      <c r="B10" s="69" t="s">
        <v>292</v>
      </c>
      <c r="C10" s="69"/>
      <c r="D10" s="69"/>
    </row>
    <row r="11" spans="2:7" x14ac:dyDescent="0.2">
      <c r="B11" s="69"/>
      <c r="C11" s="69"/>
      <c r="D11" s="69"/>
    </row>
    <row r="12" spans="2:7" ht="30" customHeight="1" x14ac:dyDescent="0.2">
      <c r="B12" s="81" t="s">
        <v>200</v>
      </c>
      <c r="C12" s="34" t="s">
        <v>293</v>
      </c>
      <c r="D12" s="35" t="s">
        <v>294</v>
      </c>
      <c r="E12" s="35" t="s">
        <v>295</v>
      </c>
      <c r="F12" s="34" t="s">
        <v>296</v>
      </c>
      <c r="G12" s="34" t="s">
        <v>297</v>
      </c>
    </row>
    <row r="13" spans="2:7" ht="21" customHeight="1" x14ac:dyDescent="0.2">
      <c r="B13" s="82"/>
      <c r="C13" s="70"/>
      <c r="D13" s="71"/>
      <c r="E13" s="71"/>
      <c r="F13" s="70"/>
      <c r="G13" s="70"/>
    </row>
    <row r="14" spans="2:7" ht="45" customHeight="1" x14ac:dyDescent="0.2">
      <c r="B14" s="83">
        <v>1</v>
      </c>
      <c r="C14" s="69" t="s">
        <v>298</v>
      </c>
      <c r="D14" s="73" t="s">
        <v>299</v>
      </c>
      <c r="E14" s="69" t="s">
        <v>300</v>
      </c>
      <c r="F14" s="73" t="s">
        <v>301</v>
      </c>
      <c r="G14" s="2" t="s">
        <v>202</v>
      </c>
    </row>
    <row r="15" spans="2:7" ht="30" customHeight="1" x14ac:dyDescent="0.2">
      <c r="B15" s="83">
        <v>2</v>
      </c>
      <c r="C15" s="69" t="s">
        <v>298</v>
      </c>
      <c r="D15" s="73" t="s">
        <v>302</v>
      </c>
      <c r="E15" s="73" t="s">
        <v>303</v>
      </c>
      <c r="F15" s="73" t="s">
        <v>304</v>
      </c>
      <c r="G15" s="2" t="s">
        <v>202</v>
      </c>
    </row>
    <row r="16" spans="2:7" ht="30" customHeight="1" x14ac:dyDescent="0.2">
      <c r="B16" s="83">
        <v>3</v>
      </c>
      <c r="C16" s="69" t="s">
        <v>298</v>
      </c>
      <c r="D16" s="73" t="s">
        <v>305</v>
      </c>
      <c r="E16" s="73" t="s">
        <v>306</v>
      </c>
      <c r="F16" s="73" t="s">
        <v>307</v>
      </c>
      <c r="G16" s="2" t="s">
        <v>203</v>
      </c>
    </row>
    <row r="17" spans="2:7" ht="45" customHeight="1" x14ac:dyDescent="0.2">
      <c r="B17" s="83">
        <v>4</v>
      </c>
      <c r="C17" s="69" t="s">
        <v>308</v>
      </c>
      <c r="D17" s="73" t="s">
        <v>309</v>
      </c>
      <c r="E17" s="73" t="s">
        <v>310</v>
      </c>
      <c r="F17" s="73" t="s">
        <v>304</v>
      </c>
      <c r="G17" s="2" t="s">
        <v>204</v>
      </c>
    </row>
    <row r="18" spans="2:7" ht="30" customHeight="1" x14ac:dyDescent="0.2">
      <c r="B18" s="83">
        <v>5</v>
      </c>
      <c r="C18" s="69" t="s">
        <v>298</v>
      </c>
      <c r="D18" s="73" t="s">
        <v>311</v>
      </c>
      <c r="E18" s="73" t="s">
        <v>312</v>
      </c>
      <c r="F18" s="73" t="s">
        <v>313</v>
      </c>
      <c r="G18" s="2" t="s">
        <v>206</v>
      </c>
    </row>
    <row r="19" spans="2:7" ht="45" customHeight="1" x14ac:dyDescent="0.2">
      <c r="B19" s="83">
        <v>6</v>
      </c>
      <c r="C19" s="69" t="s">
        <v>308</v>
      </c>
      <c r="D19" s="73" t="s">
        <v>314</v>
      </c>
      <c r="E19" s="73" t="s">
        <v>315</v>
      </c>
      <c r="F19" s="73" t="s">
        <v>304</v>
      </c>
      <c r="G19" s="2" t="s">
        <v>207</v>
      </c>
    </row>
    <row r="20" spans="2:7" ht="30" customHeight="1" x14ac:dyDescent="0.2">
      <c r="B20" s="83">
        <v>7</v>
      </c>
      <c r="C20" s="69" t="s">
        <v>298</v>
      </c>
      <c r="D20" s="73" t="s">
        <v>316</v>
      </c>
      <c r="E20" s="73" t="s">
        <v>317</v>
      </c>
      <c r="F20" s="73" t="s">
        <v>307</v>
      </c>
      <c r="G20" s="2" t="s">
        <v>209</v>
      </c>
    </row>
    <row r="21" spans="2:7" ht="30" customHeight="1" x14ac:dyDescent="0.2">
      <c r="B21" s="83">
        <v>8</v>
      </c>
      <c r="C21" s="69" t="s">
        <v>48</v>
      </c>
      <c r="D21" s="73" t="s">
        <v>318</v>
      </c>
      <c r="E21" s="73" t="s">
        <v>319</v>
      </c>
      <c r="F21" s="73" t="s">
        <v>307</v>
      </c>
      <c r="G21" s="2" t="s">
        <v>129</v>
      </c>
    </row>
    <row r="22" spans="2:7" ht="45" customHeight="1" x14ac:dyDescent="0.2">
      <c r="B22" s="83">
        <v>9</v>
      </c>
      <c r="C22" s="69" t="s">
        <v>320</v>
      </c>
      <c r="D22" s="73" t="s">
        <v>321</v>
      </c>
      <c r="E22" s="73" t="s">
        <v>322</v>
      </c>
      <c r="F22" s="73" t="s">
        <v>307</v>
      </c>
      <c r="G22" s="2" t="s">
        <v>244</v>
      </c>
    </row>
    <row r="23" spans="2:7" ht="60" customHeight="1" x14ac:dyDescent="0.2">
      <c r="B23" s="83">
        <v>10</v>
      </c>
      <c r="C23" s="69" t="s">
        <v>308</v>
      </c>
      <c r="D23" s="73" t="s">
        <v>323</v>
      </c>
      <c r="E23" s="73" t="s">
        <v>324</v>
      </c>
      <c r="F23" s="73" t="s">
        <v>301</v>
      </c>
      <c r="G23" s="2" t="s">
        <v>222</v>
      </c>
    </row>
    <row r="24" spans="2:7" ht="30" customHeight="1" x14ac:dyDescent="0.2">
      <c r="B24" s="83">
        <v>11</v>
      </c>
      <c r="C24" s="69" t="s">
        <v>325</v>
      </c>
      <c r="D24" s="73" t="s">
        <v>326</v>
      </c>
      <c r="E24" s="73" t="s">
        <v>327</v>
      </c>
      <c r="F24" s="73" t="s">
        <v>313</v>
      </c>
      <c r="G24" s="2" t="s">
        <v>238</v>
      </c>
    </row>
    <row r="25" spans="2:7" ht="30" customHeight="1" x14ac:dyDescent="0.2">
      <c r="B25" s="83">
        <v>12</v>
      </c>
      <c r="C25" s="69" t="s">
        <v>325</v>
      </c>
      <c r="D25" s="73" t="s">
        <v>328</v>
      </c>
      <c r="E25" s="73" t="s">
        <v>329</v>
      </c>
      <c r="F25" s="73" t="s">
        <v>301</v>
      </c>
      <c r="G25" s="2" t="s">
        <v>239</v>
      </c>
    </row>
    <row r="26" spans="2:7" ht="30" customHeight="1" x14ac:dyDescent="0.2">
      <c r="B26" s="83">
        <v>13</v>
      </c>
      <c r="C26" s="69" t="s">
        <v>325</v>
      </c>
      <c r="D26" s="73" t="s">
        <v>330</v>
      </c>
      <c r="E26" s="73" t="s">
        <v>331</v>
      </c>
      <c r="F26" s="73" t="s">
        <v>307</v>
      </c>
      <c r="G26" s="2" t="s">
        <v>205</v>
      </c>
    </row>
    <row r="27" spans="2:7" ht="45" customHeight="1" x14ac:dyDescent="0.2">
      <c r="B27" s="83">
        <v>14</v>
      </c>
      <c r="C27" s="69" t="s">
        <v>325</v>
      </c>
      <c r="D27" s="73" t="s">
        <v>332</v>
      </c>
      <c r="E27" s="73" t="s">
        <v>333</v>
      </c>
      <c r="F27" s="73" t="s">
        <v>304</v>
      </c>
      <c r="G27" s="2" t="s">
        <v>240</v>
      </c>
    </row>
    <row r="28" spans="2:7" ht="30" customHeight="1" x14ac:dyDescent="0.2">
      <c r="B28" s="83">
        <v>15</v>
      </c>
      <c r="C28" s="69" t="s">
        <v>325</v>
      </c>
      <c r="D28" s="73" t="s">
        <v>334</v>
      </c>
      <c r="E28" s="73" t="s">
        <v>335</v>
      </c>
      <c r="F28" s="73" t="s">
        <v>307</v>
      </c>
      <c r="G28" s="2" t="s">
        <v>241</v>
      </c>
    </row>
    <row r="29" spans="2:7" ht="45" customHeight="1" x14ac:dyDescent="0.2">
      <c r="B29" s="83">
        <v>16</v>
      </c>
      <c r="C29" s="69" t="s">
        <v>325</v>
      </c>
      <c r="D29" s="73" t="s">
        <v>336</v>
      </c>
      <c r="E29" s="73" t="s">
        <v>337</v>
      </c>
      <c r="F29" s="73" t="s">
        <v>307</v>
      </c>
      <c r="G29" s="2" t="s">
        <v>242</v>
      </c>
    </row>
    <row r="30" spans="2:7" ht="30" customHeight="1" x14ac:dyDescent="0.2">
      <c r="B30" s="83">
        <v>17</v>
      </c>
      <c r="C30" s="69" t="s">
        <v>48</v>
      </c>
      <c r="D30" s="73" t="s">
        <v>338</v>
      </c>
      <c r="E30" s="73" t="s">
        <v>339</v>
      </c>
      <c r="F30" s="73" t="s">
        <v>307</v>
      </c>
      <c r="G30" s="2" t="s">
        <v>210</v>
      </c>
    </row>
    <row r="31" spans="2:7" ht="30" customHeight="1" x14ac:dyDescent="0.2">
      <c r="B31" s="83">
        <v>18</v>
      </c>
      <c r="C31" s="69" t="s">
        <v>298</v>
      </c>
      <c r="D31" s="73" t="s">
        <v>340</v>
      </c>
      <c r="E31" s="73" t="s">
        <v>341</v>
      </c>
      <c r="F31" s="73" t="s">
        <v>342</v>
      </c>
      <c r="G31" s="2" t="s">
        <v>210</v>
      </c>
    </row>
    <row r="32" spans="2:7" ht="45" customHeight="1" x14ac:dyDescent="0.2">
      <c r="B32" s="83">
        <v>19</v>
      </c>
      <c r="C32" s="69" t="s">
        <v>298</v>
      </c>
      <c r="D32" s="73" t="s">
        <v>343</v>
      </c>
      <c r="E32" s="73" t="s">
        <v>344</v>
      </c>
      <c r="F32" s="73" t="s">
        <v>307</v>
      </c>
      <c r="G32" s="2" t="s">
        <v>211</v>
      </c>
    </row>
    <row r="33" spans="2:7" ht="30" customHeight="1" x14ac:dyDescent="0.2">
      <c r="B33" s="83">
        <v>20</v>
      </c>
      <c r="C33" s="69" t="s">
        <v>122</v>
      </c>
      <c r="D33" s="73" t="s">
        <v>345</v>
      </c>
      <c r="E33" s="73" t="s">
        <v>346</v>
      </c>
      <c r="F33" s="73" t="s">
        <v>347</v>
      </c>
      <c r="G33" s="2" t="s">
        <v>212</v>
      </c>
    </row>
    <row r="34" spans="2:7" ht="30" customHeight="1" x14ac:dyDescent="0.2">
      <c r="B34" s="83">
        <v>21</v>
      </c>
      <c r="C34" s="69" t="s">
        <v>48</v>
      </c>
      <c r="D34" s="73" t="s">
        <v>348</v>
      </c>
      <c r="E34" s="73" t="s">
        <v>349</v>
      </c>
      <c r="F34" s="73" t="s">
        <v>307</v>
      </c>
      <c r="G34" s="2" t="s">
        <v>222</v>
      </c>
    </row>
    <row r="35" spans="2:7" ht="30" customHeight="1" x14ac:dyDescent="0.2">
      <c r="B35" s="83">
        <v>22</v>
      </c>
      <c r="C35" s="69" t="s">
        <v>48</v>
      </c>
      <c r="D35" s="73" t="s">
        <v>350</v>
      </c>
      <c r="E35" s="73" t="s">
        <v>351</v>
      </c>
      <c r="F35" s="73" t="s">
        <v>301</v>
      </c>
      <c r="G35" s="2" t="s">
        <v>213</v>
      </c>
    </row>
    <row r="36" spans="2:7" ht="45" customHeight="1" x14ac:dyDescent="0.2">
      <c r="B36" s="83">
        <v>23</v>
      </c>
      <c r="C36" s="69" t="s">
        <v>48</v>
      </c>
      <c r="D36" s="73" t="s">
        <v>352</v>
      </c>
      <c r="E36" s="73" t="s">
        <v>353</v>
      </c>
      <c r="F36" s="73" t="s">
        <v>301</v>
      </c>
      <c r="G36" s="2" t="s">
        <v>214</v>
      </c>
    </row>
    <row r="37" spans="2:7" ht="45" customHeight="1" x14ac:dyDescent="0.2">
      <c r="B37" s="83">
        <v>24</v>
      </c>
      <c r="C37" s="69" t="s">
        <v>48</v>
      </c>
      <c r="D37" s="73" t="s">
        <v>354</v>
      </c>
      <c r="E37" s="73" t="s">
        <v>355</v>
      </c>
      <c r="F37" s="73" t="s">
        <v>347</v>
      </c>
      <c r="G37" s="2" t="s">
        <v>211</v>
      </c>
    </row>
    <row r="38" spans="2:7" ht="30" customHeight="1" x14ac:dyDescent="0.2">
      <c r="B38" s="83">
        <v>25</v>
      </c>
      <c r="C38" s="69" t="s">
        <v>122</v>
      </c>
      <c r="D38" s="73" t="s">
        <v>356</v>
      </c>
      <c r="E38" s="73" t="s">
        <v>357</v>
      </c>
      <c r="F38" s="73" t="s">
        <v>347</v>
      </c>
      <c r="G38" s="2" t="s">
        <v>256</v>
      </c>
    </row>
    <row r="39" spans="2:7" ht="30" customHeight="1" x14ac:dyDescent="0.2">
      <c r="B39" s="83">
        <v>26</v>
      </c>
      <c r="C39" s="69" t="s">
        <v>48</v>
      </c>
      <c r="D39" s="73" t="s">
        <v>358</v>
      </c>
      <c r="E39" s="73" t="s">
        <v>359</v>
      </c>
      <c r="F39" s="73" t="s">
        <v>301</v>
      </c>
      <c r="G39" s="2" t="s">
        <v>256</v>
      </c>
    </row>
    <row r="40" spans="2:7" ht="30" customHeight="1" x14ac:dyDescent="0.2">
      <c r="B40" s="83">
        <v>27</v>
      </c>
      <c r="C40" s="69" t="s">
        <v>48</v>
      </c>
      <c r="D40" s="73" t="s">
        <v>360</v>
      </c>
      <c r="E40" s="73" t="s">
        <v>361</v>
      </c>
      <c r="F40" s="73" t="s">
        <v>307</v>
      </c>
      <c r="G40" s="2" t="s">
        <v>256</v>
      </c>
    </row>
    <row r="41" spans="2:7" ht="30" customHeight="1" x14ac:dyDescent="0.2">
      <c r="B41" s="83">
        <v>28</v>
      </c>
      <c r="C41" s="69" t="s">
        <v>48</v>
      </c>
      <c r="D41" s="73" t="s">
        <v>362</v>
      </c>
      <c r="E41" s="73" t="s">
        <v>363</v>
      </c>
      <c r="F41" s="73" t="s">
        <v>301</v>
      </c>
      <c r="G41" s="2" t="s">
        <v>216</v>
      </c>
    </row>
    <row r="42" spans="2:7" ht="30" customHeight="1" x14ac:dyDescent="0.2">
      <c r="B42" s="83">
        <v>29</v>
      </c>
      <c r="C42" s="69" t="s">
        <v>87</v>
      </c>
      <c r="D42" s="73" t="s">
        <v>364</v>
      </c>
      <c r="E42" s="73" t="s">
        <v>365</v>
      </c>
      <c r="F42" s="73" t="s">
        <v>366</v>
      </c>
      <c r="G42" s="2" t="s">
        <v>216</v>
      </c>
    </row>
    <row r="43" spans="2:7" ht="30" customHeight="1" x14ac:dyDescent="0.2">
      <c r="B43" s="83">
        <v>30</v>
      </c>
      <c r="C43" s="69" t="s">
        <v>48</v>
      </c>
      <c r="D43" s="73" t="s">
        <v>367</v>
      </c>
      <c r="E43" s="73" t="s">
        <v>368</v>
      </c>
      <c r="F43" s="73" t="s">
        <v>304</v>
      </c>
      <c r="G43" s="2" t="s">
        <v>217</v>
      </c>
    </row>
    <row r="44" spans="2:7" ht="30" customHeight="1" x14ac:dyDescent="0.2">
      <c r="B44" s="83">
        <v>31</v>
      </c>
      <c r="C44" s="69" t="s">
        <v>48</v>
      </c>
      <c r="D44" s="73" t="s">
        <v>369</v>
      </c>
      <c r="E44" s="73" t="s">
        <v>370</v>
      </c>
      <c r="F44" s="73" t="s">
        <v>307</v>
      </c>
      <c r="G44" s="2" t="s">
        <v>112</v>
      </c>
    </row>
    <row r="45" spans="2:7" ht="30" customHeight="1" x14ac:dyDescent="0.2">
      <c r="B45" s="83">
        <v>32</v>
      </c>
      <c r="C45" s="69" t="s">
        <v>48</v>
      </c>
      <c r="D45" s="73" t="s">
        <v>371</v>
      </c>
      <c r="E45" s="73" t="s">
        <v>372</v>
      </c>
      <c r="F45" s="73" t="s">
        <v>304</v>
      </c>
      <c r="G45" s="2" t="s">
        <v>262</v>
      </c>
    </row>
    <row r="46" spans="2:7" ht="30" customHeight="1" x14ac:dyDescent="0.2">
      <c r="B46" s="83">
        <v>33</v>
      </c>
      <c r="C46" s="69" t="s">
        <v>48</v>
      </c>
      <c r="D46" s="73" t="s">
        <v>373</v>
      </c>
      <c r="E46" s="73" t="s">
        <v>374</v>
      </c>
      <c r="F46" s="73" t="s">
        <v>304</v>
      </c>
      <c r="G46" s="2" t="s">
        <v>218</v>
      </c>
    </row>
    <row r="47" spans="2:7" ht="30" customHeight="1" x14ac:dyDescent="0.2">
      <c r="B47" s="83">
        <v>34</v>
      </c>
      <c r="C47" s="69" t="s">
        <v>298</v>
      </c>
      <c r="D47" s="73" t="s">
        <v>375</v>
      </c>
      <c r="E47" s="73" t="s">
        <v>376</v>
      </c>
      <c r="F47" s="73" t="s">
        <v>307</v>
      </c>
      <c r="G47" s="2" t="s">
        <v>112</v>
      </c>
    </row>
    <row r="48" spans="2:7" ht="30" customHeight="1" x14ac:dyDescent="0.2">
      <c r="B48" s="83">
        <v>35</v>
      </c>
      <c r="C48" s="69" t="s">
        <v>48</v>
      </c>
      <c r="D48" s="73" t="s">
        <v>377</v>
      </c>
      <c r="E48" s="73" t="s">
        <v>378</v>
      </c>
      <c r="F48" s="73" t="s">
        <v>307</v>
      </c>
      <c r="G48" s="2" t="s">
        <v>112</v>
      </c>
    </row>
    <row r="49" spans="2:7" ht="30" customHeight="1" x14ac:dyDescent="0.2">
      <c r="B49" s="83">
        <v>36</v>
      </c>
      <c r="C49" s="69" t="s">
        <v>325</v>
      </c>
      <c r="D49" s="73" t="s">
        <v>379</v>
      </c>
      <c r="E49" s="73" t="s">
        <v>380</v>
      </c>
      <c r="F49" s="73" t="s">
        <v>307</v>
      </c>
      <c r="G49" s="2" t="s">
        <v>218</v>
      </c>
    </row>
    <row r="50" spans="2:7" ht="30" customHeight="1" x14ac:dyDescent="0.2">
      <c r="B50" s="83">
        <v>37</v>
      </c>
      <c r="C50" s="69" t="s">
        <v>48</v>
      </c>
      <c r="D50" s="73" t="s">
        <v>381</v>
      </c>
      <c r="E50" s="73" t="s">
        <v>382</v>
      </c>
      <c r="F50" s="73" t="s">
        <v>307</v>
      </c>
      <c r="G50" s="2" t="s">
        <v>263</v>
      </c>
    </row>
    <row r="51" spans="2:7" ht="30" customHeight="1" x14ac:dyDescent="0.2">
      <c r="B51" s="83">
        <v>38</v>
      </c>
      <c r="C51" s="69" t="s">
        <v>48</v>
      </c>
      <c r="D51" s="73" t="s">
        <v>383</v>
      </c>
      <c r="E51" s="73" t="s">
        <v>384</v>
      </c>
      <c r="F51" s="73" t="s">
        <v>307</v>
      </c>
      <c r="G51" s="2" t="s">
        <v>265</v>
      </c>
    </row>
    <row r="52" spans="2:7" ht="30" customHeight="1" x14ac:dyDescent="0.2">
      <c r="B52" s="83">
        <v>39</v>
      </c>
      <c r="C52" s="69" t="s">
        <v>48</v>
      </c>
      <c r="D52" s="73" t="s">
        <v>385</v>
      </c>
      <c r="E52" s="73" t="s">
        <v>386</v>
      </c>
      <c r="F52" s="73" t="s">
        <v>307</v>
      </c>
      <c r="G52" s="2" t="s">
        <v>218</v>
      </c>
    </row>
    <row r="53" spans="2:7" ht="30" customHeight="1" x14ac:dyDescent="0.2">
      <c r="B53" s="83">
        <v>40</v>
      </c>
      <c r="C53" s="69" t="s">
        <v>48</v>
      </c>
      <c r="D53" s="73" t="s">
        <v>387</v>
      </c>
      <c r="E53" s="73" t="s">
        <v>388</v>
      </c>
      <c r="F53" s="73" t="s">
        <v>301</v>
      </c>
      <c r="G53" s="2" t="s">
        <v>276</v>
      </c>
    </row>
    <row r="54" spans="2:7" ht="30" customHeight="1" x14ac:dyDescent="0.2">
      <c r="B54" s="83">
        <v>41</v>
      </c>
      <c r="C54" s="69" t="s">
        <v>48</v>
      </c>
      <c r="D54" s="73" t="s">
        <v>389</v>
      </c>
      <c r="E54" s="73" t="s">
        <v>390</v>
      </c>
      <c r="F54" s="73" t="s">
        <v>313</v>
      </c>
      <c r="G54" s="2" t="s">
        <v>264</v>
      </c>
    </row>
    <row r="55" spans="2:7" ht="45" customHeight="1" x14ac:dyDescent="0.2">
      <c r="B55" s="83">
        <v>42</v>
      </c>
      <c r="C55" s="69" t="s">
        <v>105</v>
      </c>
      <c r="D55" s="73" t="s">
        <v>391</v>
      </c>
      <c r="E55" s="73" t="s">
        <v>392</v>
      </c>
      <c r="F55" s="73" t="s">
        <v>301</v>
      </c>
      <c r="G55" s="2" t="s">
        <v>58</v>
      </c>
    </row>
    <row r="56" spans="2:7" ht="30" customHeight="1" x14ac:dyDescent="0.2">
      <c r="B56" s="83">
        <v>43</v>
      </c>
      <c r="C56" s="69" t="s">
        <v>105</v>
      </c>
      <c r="D56" s="73" t="s">
        <v>393</v>
      </c>
      <c r="E56" s="73" t="s">
        <v>394</v>
      </c>
      <c r="F56" s="73" t="s">
        <v>307</v>
      </c>
      <c r="G56" s="2" t="s">
        <v>58</v>
      </c>
    </row>
    <row r="57" spans="2:7" ht="30" customHeight="1" x14ac:dyDescent="0.2">
      <c r="B57" s="83">
        <v>44</v>
      </c>
      <c r="C57" s="69" t="s">
        <v>320</v>
      </c>
      <c r="D57" s="73" t="s">
        <v>395</v>
      </c>
      <c r="E57" s="73" t="s">
        <v>396</v>
      </c>
      <c r="F57" s="73" t="s">
        <v>301</v>
      </c>
      <c r="G57" s="2" t="s">
        <v>247</v>
      </c>
    </row>
    <row r="58" spans="2:7" ht="30" customHeight="1" x14ac:dyDescent="0.2">
      <c r="B58" s="83">
        <v>45</v>
      </c>
      <c r="C58" s="69" t="s">
        <v>320</v>
      </c>
      <c r="D58" s="73" t="s">
        <v>397</v>
      </c>
      <c r="E58" s="73" t="s">
        <v>398</v>
      </c>
      <c r="F58" s="73" t="s">
        <v>313</v>
      </c>
      <c r="G58" s="73" t="s">
        <v>399</v>
      </c>
    </row>
    <row r="59" spans="2:7" ht="30" customHeight="1" x14ac:dyDescent="0.2">
      <c r="B59" s="83">
        <v>46</v>
      </c>
      <c r="C59" s="69" t="s">
        <v>320</v>
      </c>
      <c r="D59" s="73" t="s">
        <v>400</v>
      </c>
      <c r="E59" s="73" t="s">
        <v>401</v>
      </c>
      <c r="F59" s="73" t="s">
        <v>313</v>
      </c>
      <c r="G59" s="2" t="s">
        <v>248</v>
      </c>
    </row>
    <row r="60" spans="2:7" ht="45" customHeight="1" x14ac:dyDescent="0.2">
      <c r="B60" s="83">
        <v>47</v>
      </c>
      <c r="C60" s="69" t="s">
        <v>320</v>
      </c>
      <c r="D60" s="73" t="s">
        <v>402</v>
      </c>
      <c r="E60" s="73" t="s">
        <v>403</v>
      </c>
      <c r="F60" s="73" t="s">
        <v>307</v>
      </c>
      <c r="G60" s="2" t="s">
        <v>251</v>
      </c>
    </row>
    <row r="61" spans="2:7" ht="30" customHeight="1" x14ac:dyDescent="0.2">
      <c r="B61" s="83">
        <v>48</v>
      </c>
      <c r="C61" s="69" t="s">
        <v>320</v>
      </c>
      <c r="D61" s="73" t="s">
        <v>404</v>
      </c>
      <c r="E61" s="73" t="s">
        <v>405</v>
      </c>
      <c r="F61" s="73" t="s">
        <v>307</v>
      </c>
      <c r="G61" s="2" t="s">
        <v>252</v>
      </c>
    </row>
    <row r="62" spans="2:7" ht="30" customHeight="1" x14ac:dyDescent="0.2">
      <c r="B62" s="83">
        <v>49</v>
      </c>
      <c r="C62" s="69" t="s">
        <v>320</v>
      </c>
      <c r="D62" s="73" t="s">
        <v>406</v>
      </c>
      <c r="E62" s="73" t="s">
        <v>407</v>
      </c>
      <c r="F62" s="73" t="s">
        <v>307</v>
      </c>
      <c r="G62" s="2" t="s">
        <v>248</v>
      </c>
    </row>
    <row r="63" spans="2:7" ht="30" customHeight="1" x14ac:dyDescent="0.2">
      <c r="B63" s="83">
        <v>50</v>
      </c>
      <c r="C63" s="69" t="s">
        <v>48</v>
      </c>
      <c r="D63" s="73" t="s">
        <v>408</v>
      </c>
      <c r="E63" s="73" t="s">
        <v>409</v>
      </c>
      <c r="F63" s="73" t="s">
        <v>301</v>
      </c>
      <c r="G63" s="2" t="s">
        <v>254</v>
      </c>
    </row>
    <row r="64" spans="2:7" ht="30" customHeight="1" x14ac:dyDescent="0.2">
      <c r="B64" s="83">
        <v>51</v>
      </c>
      <c r="C64" s="69" t="s">
        <v>320</v>
      </c>
      <c r="D64" s="73" t="s">
        <v>410</v>
      </c>
      <c r="E64" s="73" t="s">
        <v>411</v>
      </c>
      <c r="F64" s="73" t="s">
        <v>313</v>
      </c>
      <c r="G64" s="2" t="s">
        <v>257</v>
      </c>
    </row>
    <row r="65" spans="2:7" ht="30" customHeight="1" x14ac:dyDescent="0.2">
      <c r="B65" s="83">
        <v>52</v>
      </c>
      <c r="C65" s="69" t="s">
        <v>87</v>
      </c>
      <c r="D65" s="73" t="s">
        <v>412</v>
      </c>
      <c r="E65" s="73" t="s">
        <v>413</v>
      </c>
      <c r="F65" s="73" t="s">
        <v>301</v>
      </c>
      <c r="G65" s="2" t="s">
        <v>258</v>
      </c>
    </row>
    <row r="66" spans="2:7" ht="30" customHeight="1" x14ac:dyDescent="0.2">
      <c r="B66" s="83">
        <v>53</v>
      </c>
      <c r="C66" s="69" t="s">
        <v>320</v>
      </c>
      <c r="D66" s="73" t="s">
        <v>414</v>
      </c>
      <c r="E66" s="73" t="s">
        <v>415</v>
      </c>
      <c r="F66" s="73" t="s">
        <v>342</v>
      </c>
      <c r="G66" s="2" t="s">
        <v>259</v>
      </c>
    </row>
    <row r="67" spans="2:7" ht="45" customHeight="1" x14ac:dyDescent="0.2">
      <c r="B67" s="83">
        <v>54</v>
      </c>
      <c r="C67" s="69" t="s">
        <v>122</v>
      </c>
      <c r="D67" s="73" t="s">
        <v>416</v>
      </c>
      <c r="E67" s="73" t="s">
        <v>417</v>
      </c>
      <c r="F67" s="73" t="s">
        <v>304</v>
      </c>
      <c r="G67" s="2" t="s">
        <v>256</v>
      </c>
    </row>
    <row r="68" spans="2:7" ht="30" customHeight="1" x14ac:dyDescent="0.2">
      <c r="B68" s="83">
        <v>55</v>
      </c>
      <c r="C68" s="69" t="s">
        <v>122</v>
      </c>
      <c r="D68" s="73" t="s">
        <v>418</v>
      </c>
      <c r="E68" s="73" t="s">
        <v>419</v>
      </c>
      <c r="F68" s="73" t="s">
        <v>304</v>
      </c>
      <c r="G68" s="2" t="s">
        <v>255</v>
      </c>
    </row>
    <row r="69" spans="2:7" ht="30" customHeight="1" x14ac:dyDescent="0.2">
      <c r="B69" s="83">
        <v>56</v>
      </c>
      <c r="C69" s="69" t="s">
        <v>48</v>
      </c>
      <c r="D69" s="73" t="s">
        <v>420</v>
      </c>
      <c r="E69" s="73" t="s">
        <v>421</v>
      </c>
      <c r="F69" s="73" t="s">
        <v>301</v>
      </c>
      <c r="G69" s="2" t="s">
        <v>260</v>
      </c>
    </row>
    <row r="70" spans="2:7" ht="30" customHeight="1" x14ac:dyDescent="0.2">
      <c r="B70" s="83">
        <v>57</v>
      </c>
      <c r="C70" s="69" t="s">
        <v>48</v>
      </c>
      <c r="D70" s="73" t="s">
        <v>422</v>
      </c>
      <c r="E70" s="73" t="s">
        <v>423</v>
      </c>
      <c r="F70" s="73" t="s">
        <v>347</v>
      </c>
      <c r="G70" s="2" t="s">
        <v>129</v>
      </c>
    </row>
    <row r="71" spans="2:7" ht="30" customHeight="1" x14ac:dyDescent="0.2">
      <c r="B71" s="83">
        <v>58</v>
      </c>
      <c r="C71" s="69" t="s">
        <v>48</v>
      </c>
      <c r="D71" s="73" t="s">
        <v>424</v>
      </c>
      <c r="E71" s="73" t="s">
        <v>425</v>
      </c>
      <c r="F71" s="73" t="s">
        <v>347</v>
      </c>
      <c r="G71" s="2" t="s">
        <v>253</v>
      </c>
    </row>
    <row r="72" spans="2:7" ht="30" customHeight="1" x14ac:dyDescent="0.2">
      <c r="B72" s="83">
        <v>59</v>
      </c>
      <c r="C72" s="69" t="s">
        <v>308</v>
      </c>
      <c r="D72" s="73" t="s">
        <v>426</v>
      </c>
      <c r="E72" s="73" t="s">
        <v>427</v>
      </c>
      <c r="F72" s="73" t="s">
        <v>304</v>
      </c>
      <c r="G72" s="2" t="s">
        <v>236</v>
      </c>
    </row>
    <row r="73" spans="2:7" ht="45" customHeight="1" x14ac:dyDescent="0.2">
      <c r="B73" s="83">
        <v>60</v>
      </c>
      <c r="C73" s="69" t="s">
        <v>308</v>
      </c>
      <c r="D73" s="73" t="s">
        <v>428</v>
      </c>
      <c r="E73" s="73" t="s">
        <v>429</v>
      </c>
      <c r="F73" s="73" t="s">
        <v>347</v>
      </c>
      <c r="G73" s="2" t="s">
        <v>95</v>
      </c>
    </row>
    <row r="74" spans="2:7" ht="30" customHeight="1" x14ac:dyDescent="0.2">
      <c r="B74" s="83">
        <v>61</v>
      </c>
      <c r="C74" s="69" t="s">
        <v>122</v>
      </c>
      <c r="D74" s="73" t="s">
        <v>430</v>
      </c>
      <c r="E74" s="73" t="s">
        <v>431</v>
      </c>
      <c r="F74" s="73" t="s">
        <v>366</v>
      </c>
      <c r="G74" s="2" t="s">
        <v>266</v>
      </c>
    </row>
    <row r="75" spans="2:7" ht="45" customHeight="1" x14ac:dyDescent="0.2">
      <c r="B75" s="83">
        <v>62</v>
      </c>
      <c r="C75" s="69" t="s">
        <v>105</v>
      </c>
      <c r="D75" s="73" t="s">
        <v>432</v>
      </c>
      <c r="E75" s="73" t="s">
        <v>433</v>
      </c>
      <c r="F75" s="73" t="s">
        <v>304</v>
      </c>
      <c r="G75" s="2" t="s">
        <v>287</v>
      </c>
    </row>
    <row r="76" spans="2:7" ht="45" customHeight="1" x14ac:dyDescent="0.2">
      <c r="B76" s="83">
        <v>63</v>
      </c>
      <c r="C76" s="69" t="s">
        <v>48</v>
      </c>
      <c r="D76" s="73" t="s">
        <v>434</v>
      </c>
      <c r="E76" s="73" t="s">
        <v>435</v>
      </c>
      <c r="F76" s="73" t="s">
        <v>307</v>
      </c>
      <c r="G76" s="2" t="s">
        <v>222</v>
      </c>
    </row>
    <row r="77" spans="2:7" ht="45" customHeight="1" x14ac:dyDescent="0.2">
      <c r="B77" s="83">
        <v>64</v>
      </c>
      <c r="C77" s="69" t="s">
        <v>48</v>
      </c>
      <c r="D77" s="73" t="s">
        <v>436</v>
      </c>
      <c r="E77" s="73" t="s">
        <v>437</v>
      </c>
      <c r="F77" s="73" t="s">
        <v>304</v>
      </c>
      <c r="G77" s="2" t="s">
        <v>267</v>
      </c>
    </row>
    <row r="78" spans="2:7" x14ac:dyDescent="0.2">
      <c r="B78" s="83">
        <v>65</v>
      </c>
      <c r="C78" s="69" t="s">
        <v>48</v>
      </c>
      <c r="D78" s="73" t="s">
        <v>438</v>
      </c>
      <c r="E78" s="73" t="s">
        <v>439</v>
      </c>
      <c r="F78" s="73" t="s">
        <v>301</v>
      </c>
      <c r="G78" s="2" t="s">
        <v>273</v>
      </c>
    </row>
    <row r="79" spans="2:7" ht="30" customHeight="1" x14ac:dyDescent="0.2">
      <c r="B79" s="83">
        <v>66</v>
      </c>
      <c r="C79" s="69" t="s">
        <v>105</v>
      </c>
      <c r="D79" s="73" t="s">
        <v>440</v>
      </c>
      <c r="E79" s="73" t="s">
        <v>441</v>
      </c>
      <c r="F79" s="73" t="s">
        <v>304</v>
      </c>
      <c r="G79" s="2" t="s">
        <v>85</v>
      </c>
    </row>
    <row r="80" spans="2:7" ht="30" customHeight="1" x14ac:dyDescent="0.2">
      <c r="B80" s="83">
        <v>67</v>
      </c>
      <c r="C80" s="69" t="s">
        <v>105</v>
      </c>
      <c r="D80" s="73" t="s">
        <v>442</v>
      </c>
      <c r="E80" s="73" t="s">
        <v>443</v>
      </c>
      <c r="F80" s="73" t="s">
        <v>304</v>
      </c>
      <c r="G80" s="2" t="s">
        <v>85</v>
      </c>
    </row>
    <row r="81" spans="2:7" x14ac:dyDescent="0.2">
      <c r="B81" s="83">
        <v>68</v>
      </c>
      <c r="C81" s="69" t="s">
        <v>48</v>
      </c>
      <c r="D81" s="73" t="s">
        <v>444</v>
      </c>
      <c r="E81" s="73" t="s">
        <v>445</v>
      </c>
      <c r="F81" s="73" t="s">
        <v>347</v>
      </c>
      <c r="G81" s="2" t="s">
        <v>85</v>
      </c>
    </row>
    <row r="82" spans="2:7" ht="30" customHeight="1" x14ac:dyDescent="0.2">
      <c r="B82" s="83">
        <v>69</v>
      </c>
      <c r="C82" s="69" t="s">
        <v>308</v>
      </c>
      <c r="D82" s="73" t="s">
        <v>446</v>
      </c>
      <c r="E82" s="73" t="s">
        <v>447</v>
      </c>
      <c r="F82" s="73" t="s">
        <v>304</v>
      </c>
      <c r="G82" s="2" t="s">
        <v>275</v>
      </c>
    </row>
    <row r="83" spans="2:7" ht="30" customHeight="1" x14ac:dyDescent="0.2">
      <c r="B83" s="83">
        <v>70</v>
      </c>
      <c r="C83" s="69" t="s">
        <v>308</v>
      </c>
      <c r="D83" s="73" t="s">
        <v>448</v>
      </c>
      <c r="E83" s="73" t="s">
        <v>449</v>
      </c>
      <c r="F83" s="73" t="s">
        <v>304</v>
      </c>
      <c r="G83" s="2" t="s">
        <v>222</v>
      </c>
    </row>
    <row r="84" spans="2:7" ht="45" customHeight="1" x14ac:dyDescent="0.2">
      <c r="B84" s="83">
        <v>71</v>
      </c>
      <c r="C84" s="69" t="s">
        <v>105</v>
      </c>
      <c r="D84" s="73" t="s">
        <v>450</v>
      </c>
      <c r="E84" s="73" t="s">
        <v>451</v>
      </c>
      <c r="F84" s="73" t="s">
        <v>307</v>
      </c>
      <c r="G84" s="2" t="s">
        <v>277</v>
      </c>
    </row>
    <row r="85" spans="2:7" ht="30" customHeight="1" x14ac:dyDescent="0.2">
      <c r="B85" s="83">
        <v>72</v>
      </c>
      <c r="C85" s="69" t="s">
        <v>105</v>
      </c>
      <c r="D85" s="73" t="s">
        <v>452</v>
      </c>
      <c r="E85" s="73" t="s">
        <v>453</v>
      </c>
      <c r="F85" s="73" t="s">
        <v>307</v>
      </c>
      <c r="G85" s="2" t="s">
        <v>268</v>
      </c>
    </row>
    <row r="86" spans="2:7" ht="30" customHeight="1" x14ac:dyDescent="0.2">
      <c r="B86" s="83">
        <v>73</v>
      </c>
      <c r="C86" s="69" t="s">
        <v>105</v>
      </c>
      <c r="D86" s="73" t="s">
        <v>454</v>
      </c>
      <c r="E86" s="73" t="s">
        <v>455</v>
      </c>
      <c r="F86" s="73" t="s">
        <v>307</v>
      </c>
      <c r="G86" s="2" t="s">
        <v>277</v>
      </c>
    </row>
    <row r="87" spans="2:7" ht="45" customHeight="1" x14ac:dyDescent="0.2">
      <c r="B87" s="83">
        <v>74</v>
      </c>
      <c r="C87" s="69" t="s">
        <v>298</v>
      </c>
      <c r="D87" s="73" t="s">
        <v>456</v>
      </c>
      <c r="E87" s="73" t="s">
        <v>457</v>
      </c>
      <c r="F87" s="73" t="s">
        <v>304</v>
      </c>
      <c r="G87" s="2" t="s">
        <v>289</v>
      </c>
    </row>
    <row r="88" spans="2:7" ht="30" customHeight="1" x14ac:dyDescent="0.2">
      <c r="B88" s="83">
        <v>75</v>
      </c>
      <c r="C88" s="69" t="s">
        <v>87</v>
      </c>
      <c r="D88" s="73" t="s">
        <v>458</v>
      </c>
      <c r="E88" s="73" t="s">
        <v>459</v>
      </c>
      <c r="F88" s="73" t="s">
        <v>366</v>
      </c>
      <c r="G88" s="2" t="s">
        <v>278</v>
      </c>
    </row>
    <row r="89" spans="2:7" ht="45" customHeight="1" x14ac:dyDescent="0.2">
      <c r="B89" s="83">
        <v>76</v>
      </c>
      <c r="C89" s="69" t="s">
        <v>87</v>
      </c>
      <c r="D89" s="73" t="s">
        <v>460</v>
      </c>
      <c r="E89" s="73" t="s">
        <v>461</v>
      </c>
      <c r="F89" s="73" t="s">
        <v>347</v>
      </c>
      <c r="G89" s="2" t="s">
        <v>279</v>
      </c>
    </row>
    <row r="90" spans="2:7" ht="45" customHeight="1" x14ac:dyDescent="0.2">
      <c r="B90" s="83">
        <v>77</v>
      </c>
      <c r="C90" s="69" t="s">
        <v>87</v>
      </c>
      <c r="D90" s="73" t="s">
        <v>462</v>
      </c>
      <c r="E90" s="73" t="s">
        <v>463</v>
      </c>
      <c r="F90" s="73" t="s">
        <v>304</v>
      </c>
      <c r="G90" s="2" t="s">
        <v>280</v>
      </c>
    </row>
    <row r="91" spans="2:7" ht="30" customHeight="1" x14ac:dyDescent="0.2">
      <c r="B91" s="83">
        <v>78</v>
      </c>
      <c r="C91" s="69" t="s">
        <v>87</v>
      </c>
      <c r="D91" s="73" t="s">
        <v>464</v>
      </c>
      <c r="E91" s="73" t="s">
        <v>465</v>
      </c>
      <c r="F91" s="73" t="s">
        <v>304</v>
      </c>
      <c r="G91" s="2" t="s">
        <v>278</v>
      </c>
    </row>
    <row r="92" spans="2:7" ht="30" customHeight="1" x14ac:dyDescent="0.2">
      <c r="B92" s="83">
        <v>79</v>
      </c>
      <c r="C92" s="69" t="s">
        <v>48</v>
      </c>
      <c r="D92" s="73" t="s">
        <v>466</v>
      </c>
      <c r="E92" s="73" t="s">
        <v>467</v>
      </c>
      <c r="F92" s="73" t="s">
        <v>304</v>
      </c>
      <c r="G92" s="2" t="s">
        <v>215</v>
      </c>
    </row>
    <row r="93" spans="2:7" ht="30" customHeight="1" x14ac:dyDescent="0.2">
      <c r="B93" s="83">
        <v>80</v>
      </c>
      <c r="C93" s="69" t="s">
        <v>48</v>
      </c>
      <c r="D93" s="73" t="s">
        <v>468</v>
      </c>
      <c r="E93" s="73" t="s">
        <v>469</v>
      </c>
      <c r="F93" s="73" t="s">
        <v>347</v>
      </c>
      <c r="G93" s="2" t="s">
        <v>215</v>
      </c>
    </row>
    <row r="94" spans="2:7" ht="30" customHeight="1" x14ac:dyDescent="0.2">
      <c r="B94" s="83">
        <v>81</v>
      </c>
      <c r="C94" s="69" t="s">
        <v>48</v>
      </c>
      <c r="D94" s="73" t="s">
        <v>470</v>
      </c>
      <c r="E94" s="73" t="s">
        <v>471</v>
      </c>
      <c r="F94" s="73" t="s">
        <v>304</v>
      </c>
      <c r="G94" s="2" t="s">
        <v>215</v>
      </c>
    </row>
    <row r="95" spans="2:7" ht="30" customHeight="1" x14ac:dyDescent="0.2">
      <c r="B95" s="83">
        <v>82</v>
      </c>
      <c r="C95" s="69" t="s">
        <v>48</v>
      </c>
      <c r="D95" s="73" t="s">
        <v>472</v>
      </c>
      <c r="E95" s="73" t="s">
        <v>473</v>
      </c>
      <c r="F95" s="73" t="s">
        <v>347</v>
      </c>
      <c r="G95" s="2" t="s">
        <v>243</v>
      </c>
    </row>
    <row r="96" spans="2:7" ht="30" customHeight="1" x14ac:dyDescent="0.2">
      <c r="B96" s="83">
        <v>83</v>
      </c>
      <c r="C96" s="69" t="s">
        <v>48</v>
      </c>
      <c r="D96" s="73" t="s">
        <v>474</v>
      </c>
      <c r="E96" s="73" t="s">
        <v>475</v>
      </c>
      <c r="F96" s="73" t="s">
        <v>347</v>
      </c>
      <c r="G96" s="2" t="s">
        <v>209</v>
      </c>
    </row>
    <row r="97" spans="2:7" ht="30" customHeight="1" x14ac:dyDescent="0.2">
      <c r="B97" s="83">
        <v>84</v>
      </c>
      <c r="C97" s="69" t="s">
        <v>48</v>
      </c>
      <c r="D97" s="73" t="s">
        <v>476</v>
      </c>
      <c r="E97" s="73" t="s">
        <v>477</v>
      </c>
      <c r="F97" s="73" t="s">
        <v>304</v>
      </c>
      <c r="G97" s="2" t="s">
        <v>283</v>
      </c>
    </row>
    <row r="98" spans="2:7" ht="30" customHeight="1" x14ac:dyDescent="0.2">
      <c r="B98" s="83">
        <v>85</v>
      </c>
      <c r="C98" s="69" t="s">
        <v>48</v>
      </c>
      <c r="D98" s="73" t="s">
        <v>478</v>
      </c>
      <c r="E98" s="73" t="s">
        <v>479</v>
      </c>
      <c r="F98" s="73" t="s">
        <v>304</v>
      </c>
      <c r="G98" s="2" t="s">
        <v>283</v>
      </c>
    </row>
    <row r="99" spans="2:7" ht="30" customHeight="1" x14ac:dyDescent="0.2">
      <c r="B99" s="83">
        <v>86</v>
      </c>
      <c r="C99" s="69" t="s">
        <v>105</v>
      </c>
      <c r="D99" s="73" t="s">
        <v>480</v>
      </c>
      <c r="E99" s="73" t="s">
        <v>481</v>
      </c>
      <c r="F99" s="73" t="s">
        <v>366</v>
      </c>
      <c r="G99" s="2" t="s">
        <v>282</v>
      </c>
    </row>
    <row r="100" spans="2:7" ht="30" customHeight="1" x14ac:dyDescent="0.2">
      <c r="B100" s="83">
        <v>87</v>
      </c>
      <c r="C100" s="69" t="s">
        <v>105</v>
      </c>
      <c r="D100" s="73" t="s">
        <v>482</v>
      </c>
      <c r="E100" s="73" t="s">
        <v>483</v>
      </c>
      <c r="F100" s="73" t="s">
        <v>366</v>
      </c>
      <c r="G100" s="2" t="s">
        <v>95</v>
      </c>
    </row>
    <row r="101" spans="2:7" ht="30" customHeight="1" x14ac:dyDescent="0.2">
      <c r="B101" s="83">
        <v>88</v>
      </c>
      <c r="C101" s="69" t="s">
        <v>105</v>
      </c>
      <c r="D101" s="73" t="s">
        <v>484</v>
      </c>
      <c r="E101" s="73" t="s">
        <v>485</v>
      </c>
      <c r="F101" s="73" t="s">
        <v>304</v>
      </c>
      <c r="G101" s="2" t="s">
        <v>95</v>
      </c>
    </row>
    <row r="102" spans="2:7" ht="45" customHeight="1" x14ac:dyDescent="0.2">
      <c r="B102" s="83">
        <v>89</v>
      </c>
      <c r="C102" s="69" t="s">
        <v>105</v>
      </c>
      <c r="D102" s="73" t="s">
        <v>486</v>
      </c>
      <c r="E102" s="73" t="s">
        <v>487</v>
      </c>
      <c r="F102" s="73" t="s">
        <v>304</v>
      </c>
      <c r="G102" s="2" t="s">
        <v>95</v>
      </c>
    </row>
    <row r="103" spans="2:7" ht="45" customHeight="1" x14ac:dyDescent="0.2">
      <c r="B103" s="83">
        <v>90</v>
      </c>
      <c r="C103" s="69" t="s">
        <v>105</v>
      </c>
      <c r="D103" s="73" t="s">
        <v>488</v>
      </c>
      <c r="E103" s="73" t="s">
        <v>489</v>
      </c>
      <c r="F103" s="73" t="s">
        <v>304</v>
      </c>
      <c r="G103" s="2" t="s">
        <v>284</v>
      </c>
    </row>
    <row r="104" spans="2:7" ht="45" customHeight="1" x14ac:dyDescent="0.2">
      <c r="B104" s="83">
        <v>91</v>
      </c>
      <c r="C104" s="69" t="s">
        <v>105</v>
      </c>
      <c r="D104" s="73" t="s">
        <v>490</v>
      </c>
      <c r="E104" s="73" t="s">
        <v>491</v>
      </c>
      <c r="F104" s="73" t="s">
        <v>304</v>
      </c>
      <c r="G104" s="2" t="s">
        <v>287</v>
      </c>
    </row>
    <row r="105" spans="2:7" ht="30" customHeight="1" x14ac:dyDescent="0.2">
      <c r="B105" s="83">
        <v>92</v>
      </c>
      <c r="C105" s="69" t="s">
        <v>105</v>
      </c>
      <c r="D105" s="73" t="s">
        <v>492</v>
      </c>
      <c r="E105" s="73" t="s">
        <v>493</v>
      </c>
      <c r="F105" s="73" t="s">
        <v>304</v>
      </c>
      <c r="G105" s="2" t="s">
        <v>286</v>
      </c>
    </row>
    <row r="106" spans="2:7" ht="30" customHeight="1" x14ac:dyDescent="0.2">
      <c r="B106" s="83">
        <v>93</v>
      </c>
      <c r="C106" s="69" t="s">
        <v>105</v>
      </c>
      <c r="D106" s="73" t="s">
        <v>494</v>
      </c>
      <c r="E106" s="73" t="s">
        <v>495</v>
      </c>
      <c r="F106" s="73" t="s">
        <v>304</v>
      </c>
      <c r="G106" s="2" t="s">
        <v>285</v>
      </c>
    </row>
    <row r="107" spans="2:7" ht="30" customHeight="1" x14ac:dyDescent="0.2">
      <c r="B107" s="83">
        <v>94</v>
      </c>
      <c r="C107" s="69" t="s">
        <v>105</v>
      </c>
      <c r="D107" s="73" t="s">
        <v>496</v>
      </c>
      <c r="E107" s="73" t="s">
        <v>497</v>
      </c>
      <c r="F107" s="73" t="s">
        <v>304</v>
      </c>
      <c r="G107" s="2" t="s">
        <v>285</v>
      </c>
    </row>
    <row r="108" spans="2:7" ht="45" customHeight="1" x14ac:dyDescent="0.2">
      <c r="B108" s="83">
        <v>95</v>
      </c>
      <c r="C108" s="69" t="s">
        <v>48</v>
      </c>
      <c r="D108" s="73" t="s">
        <v>498</v>
      </c>
      <c r="E108" s="73" t="s">
        <v>499</v>
      </c>
      <c r="F108" s="73" t="s">
        <v>304</v>
      </c>
      <c r="G108" s="2" t="s">
        <v>288</v>
      </c>
    </row>
    <row r="109" spans="2:7" ht="45" customHeight="1" x14ac:dyDescent="0.2">
      <c r="B109" s="83">
        <v>96</v>
      </c>
      <c r="C109" s="69" t="s">
        <v>298</v>
      </c>
      <c r="D109" s="73" t="s">
        <v>500</v>
      </c>
      <c r="E109" s="69" t="s">
        <v>501</v>
      </c>
      <c r="F109" s="73" t="s">
        <v>304</v>
      </c>
      <c r="G109" s="2" t="s">
        <v>120</v>
      </c>
    </row>
    <row r="110" spans="2:7" ht="45" customHeight="1" x14ac:dyDescent="0.2">
      <c r="B110" s="83">
        <v>97</v>
      </c>
      <c r="C110" s="69" t="s">
        <v>298</v>
      </c>
      <c r="D110" s="73" t="s">
        <v>502</v>
      </c>
      <c r="E110" s="73" t="s">
        <v>503</v>
      </c>
      <c r="F110" s="73" t="s">
        <v>304</v>
      </c>
      <c r="G110" s="2" t="s">
        <v>219</v>
      </c>
    </row>
    <row r="111" spans="2:7" ht="30" customHeight="1" x14ac:dyDescent="0.2">
      <c r="B111" s="83">
        <v>98</v>
      </c>
      <c r="C111" s="69" t="s">
        <v>298</v>
      </c>
      <c r="D111" s="73" t="s">
        <v>504</v>
      </c>
      <c r="E111" s="73" t="s">
        <v>505</v>
      </c>
      <c r="F111" s="73" t="s">
        <v>304</v>
      </c>
      <c r="G111" s="2" t="s">
        <v>220</v>
      </c>
    </row>
    <row r="112" spans="2:7" ht="45" customHeight="1" x14ac:dyDescent="0.2">
      <c r="B112" s="83">
        <v>99</v>
      </c>
      <c r="C112" s="69" t="s">
        <v>298</v>
      </c>
      <c r="D112" s="73" t="s">
        <v>506</v>
      </c>
      <c r="E112" s="73" t="s">
        <v>507</v>
      </c>
      <c r="F112" s="73" t="s">
        <v>304</v>
      </c>
      <c r="G112" s="2" t="s">
        <v>221</v>
      </c>
    </row>
    <row r="113" spans="2:7" ht="45" customHeight="1" x14ac:dyDescent="0.2">
      <c r="B113" s="83">
        <v>100</v>
      </c>
      <c r="C113" s="69" t="s">
        <v>298</v>
      </c>
      <c r="D113" s="73" t="s">
        <v>508</v>
      </c>
      <c r="E113" s="73" t="s">
        <v>509</v>
      </c>
      <c r="F113" s="73" t="s">
        <v>304</v>
      </c>
      <c r="G113" s="2" t="s">
        <v>221</v>
      </c>
    </row>
    <row r="114" spans="2:7" ht="45" customHeight="1" x14ac:dyDescent="0.2">
      <c r="B114" s="83">
        <v>101</v>
      </c>
      <c r="C114" s="69" t="s">
        <v>48</v>
      </c>
      <c r="D114" s="73" t="s">
        <v>510</v>
      </c>
      <c r="E114" s="73" t="s">
        <v>511</v>
      </c>
      <c r="F114" s="73" t="s">
        <v>304</v>
      </c>
      <c r="G114" s="2" t="s">
        <v>223</v>
      </c>
    </row>
    <row r="115" spans="2:7" ht="30" customHeight="1" x14ac:dyDescent="0.2">
      <c r="B115" s="83">
        <v>102</v>
      </c>
      <c r="C115" s="69" t="s">
        <v>48</v>
      </c>
      <c r="D115" s="73" t="s">
        <v>512</v>
      </c>
      <c r="E115" s="73" t="s">
        <v>513</v>
      </c>
      <c r="F115" s="73" t="s">
        <v>301</v>
      </c>
      <c r="G115" s="2" t="s">
        <v>245</v>
      </c>
    </row>
    <row r="116" spans="2:7" ht="30" customHeight="1" x14ac:dyDescent="0.2">
      <c r="B116" s="83">
        <v>103</v>
      </c>
      <c r="C116" s="69" t="s">
        <v>48</v>
      </c>
      <c r="D116" s="73" t="s">
        <v>514</v>
      </c>
      <c r="E116" s="73" t="s">
        <v>515</v>
      </c>
      <c r="F116" s="73" t="s">
        <v>304</v>
      </c>
      <c r="G116" s="2" t="s">
        <v>245</v>
      </c>
    </row>
    <row r="117" spans="2:7" ht="45" customHeight="1" x14ac:dyDescent="0.2">
      <c r="B117" s="83">
        <v>104</v>
      </c>
      <c r="C117" s="69" t="s">
        <v>48</v>
      </c>
      <c r="D117" s="73" t="s">
        <v>516</v>
      </c>
      <c r="E117" s="73" t="s">
        <v>517</v>
      </c>
      <c r="F117" s="73" t="s">
        <v>347</v>
      </c>
      <c r="G117" s="2" t="s">
        <v>224</v>
      </c>
    </row>
    <row r="118" spans="2:7" ht="30" customHeight="1" x14ac:dyDescent="0.2">
      <c r="B118" s="83">
        <v>105</v>
      </c>
      <c r="C118" s="69" t="s">
        <v>48</v>
      </c>
      <c r="D118" s="73" t="s">
        <v>518</v>
      </c>
      <c r="E118" s="69" t="s">
        <v>519</v>
      </c>
      <c r="F118" s="73" t="s">
        <v>304</v>
      </c>
      <c r="G118" s="2" t="s">
        <v>225</v>
      </c>
    </row>
    <row r="119" spans="2:7" ht="30" customHeight="1" x14ac:dyDescent="0.2">
      <c r="B119" s="83">
        <v>106</v>
      </c>
      <c r="C119" s="69" t="s">
        <v>48</v>
      </c>
      <c r="D119" s="73" t="s">
        <v>520</v>
      </c>
      <c r="E119" s="73" t="s">
        <v>521</v>
      </c>
      <c r="F119" s="73" t="s">
        <v>304</v>
      </c>
      <c r="G119" s="2" t="s">
        <v>226</v>
      </c>
    </row>
    <row r="120" spans="2:7" ht="45" customHeight="1" x14ac:dyDescent="0.2">
      <c r="B120" s="83">
        <v>107</v>
      </c>
      <c r="C120" s="69" t="s">
        <v>48</v>
      </c>
      <c r="D120" s="73" t="s">
        <v>522</v>
      </c>
      <c r="E120" s="73" t="s">
        <v>523</v>
      </c>
      <c r="F120" s="73" t="s">
        <v>347</v>
      </c>
      <c r="G120" s="2" t="s">
        <v>227</v>
      </c>
    </row>
    <row r="121" spans="2:7" ht="30" customHeight="1" x14ac:dyDescent="0.2">
      <c r="B121" s="83">
        <v>108</v>
      </c>
      <c r="C121" s="69" t="s">
        <v>308</v>
      </c>
      <c r="D121" s="73" t="s">
        <v>524</v>
      </c>
      <c r="E121" s="73" t="s">
        <v>525</v>
      </c>
      <c r="F121" s="73" t="s">
        <v>304</v>
      </c>
      <c r="G121" s="2" t="s">
        <v>228</v>
      </c>
    </row>
    <row r="122" spans="2:7" ht="30" customHeight="1" x14ac:dyDescent="0.2">
      <c r="B122" s="83">
        <v>109</v>
      </c>
      <c r="C122" s="69" t="s">
        <v>308</v>
      </c>
      <c r="D122" s="73" t="s">
        <v>526</v>
      </c>
      <c r="E122" s="73" t="s">
        <v>527</v>
      </c>
      <c r="F122" s="73" t="s">
        <v>304</v>
      </c>
      <c r="G122" s="2" t="s">
        <v>228</v>
      </c>
    </row>
    <row r="123" spans="2:7" ht="30" customHeight="1" x14ac:dyDescent="0.2">
      <c r="B123" s="83">
        <v>110</v>
      </c>
      <c r="C123" s="69" t="s">
        <v>308</v>
      </c>
      <c r="D123" s="73" t="s">
        <v>528</v>
      </c>
      <c r="E123" s="73" t="s">
        <v>529</v>
      </c>
      <c r="F123" s="73" t="s">
        <v>304</v>
      </c>
      <c r="G123" s="2" t="s">
        <v>228</v>
      </c>
    </row>
    <row r="124" spans="2:7" ht="45" customHeight="1" x14ac:dyDescent="0.2">
      <c r="B124" s="83">
        <v>111</v>
      </c>
      <c r="C124" s="69" t="s">
        <v>308</v>
      </c>
      <c r="D124" s="73" t="s">
        <v>530</v>
      </c>
      <c r="E124" s="73" t="s">
        <v>531</v>
      </c>
      <c r="F124" s="73" t="s">
        <v>301</v>
      </c>
      <c r="G124" s="2" t="s">
        <v>274</v>
      </c>
    </row>
    <row r="125" spans="2:7" ht="45" customHeight="1" x14ac:dyDescent="0.2">
      <c r="B125" s="83">
        <v>112</v>
      </c>
      <c r="C125" s="69" t="s">
        <v>298</v>
      </c>
      <c r="D125" s="73" t="s">
        <v>532</v>
      </c>
      <c r="E125" s="73" t="s">
        <v>533</v>
      </c>
      <c r="F125" s="73" t="s">
        <v>347</v>
      </c>
      <c r="G125" s="2" t="s">
        <v>230</v>
      </c>
    </row>
    <row r="126" spans="2:7" ht="45" customHeight="1" x14ac:dyDescent="0.2">
      <c r="B126" s="83">
        <v>113</v>
      </c>
      <c r="C126" s="69" t="s">
        <v>298</v>
      </c>
      <c r="D126" s="73" t="s">
        <v>534</v>
      </c>
      <c r="E126" s="73" t="s">
        <v>535</v>
      </c>
      <c r="F126" s="73" t="s">
        <v>347</v>
      </c>
      <c r="G126" s="2" t="s">
        <v>231</v>
      </c>
    </row>
    <row r="127" spans="2:7" ht="30" customHeight="1" x14ac:dyDescent="0.2">
      <c r="B127" s="83">
        <v>114</v>
      </c>
      <c r="C127" s="69" t="s">
        <v>298</v>
      </c>
      <c r="D127" s="73" t="s">
        <v>536</v>
      </c>
      <c r="E127" s="73" t="s">
        <v>537</v>
      </c>
      <c r="F127" s="73" t="s">
        <v>307</v>
      </c>
      <c r="G127" s="2" t="s">
        <v>232</v>
      </c>
    </row>
    <row r="128" spans="2:7" ht="30" customHeight="1" x14ac:dyDescent="0.2">
      <c r="B128" s="83">
        <v>115</v>
      </c>
      <c r="C128" s="69" t="s">
        <v>298</v>
      </c>
      <c r="D128" s="73" t="s">
        <v>538</v>
      </c>
      <c r="E128" s="73" t="s">
        <v>539</v>
      </c>
      <c r="F128" s="73" t="s">
        <v>307</v>
      </c>
      <c r="G128" s="2" t="s">
        <v>233</v>
      </c>
    </row>
    <row r="129" spans="2:7" ht="45" customHeight="1" x14ac:dyDescent="0.2">
      <c r="B129" s="83">
        <v>116</v>
      </c>
      <c r="C129" s="69" t="s">
        <v>298</v>
      </c>
      <c r="D129" s="73" t="s">
        <v>540</v>
      </c>
      <c r="E129" s="73" t="s">
        <v>541</v>
      </c>
      <c r="F129" s="73" t="s">
        <v>307</v>
      </c>
      <c r="G129" s="2" t="s">
        <v>230</v>
      </c>
    </row>
    <row r="130" spans="2:7" ht="45" customHeight="1" x14ac:dyDescent="0.2">
      <c r="B130" s="83">
        <v>117</v>
      </c>
      <c r="C130" s="69" t="s">
        <v>298</v>
      </c>
      <c r="D130" s="73" t="s">
        <v>542</v>
      </c>
      <c r="E130" s="73" t="s">
        <v>543</v>
      </c>
      <c r="F130" s="73" t="s">
        <v>304</v>
      </c>
      <c r="G130" s="2" t="s">
        <v>234</v>
      </c>
    </row>
    <row r="131" spans="2:7" ht="45" customHeight="1" x14ac:dyDescent="0.2">
      <c r="B131" s="83">
        <v>118</v>
      </c>
      <c r="C131" s="69" t="s">
        <v>325</v>
      </c>
      <c r="D131" s="73" t="s">
        <v>544</v>
      </c>
      <c r="E131" s="73" t="s">
        <v>545</v>
      </c>
      <c r="F131" s="73" t="s">
        <v>307</v>
      </c>
      <c r="G131" s="2" t="s">
        <v>235</v>
      </c>
    </row>
    <row r="132" spans="2:7" ht="45" customHeight="1" x14ac:dyDescent="0.2">
      <c r="B132" s="83">
        <v>119</v>
      </c>
      <c r="C132" s="69" t="s">
        <v>48</v>
      </c>
      <c r="D132" s="73" t="s">
        <v>546</v>
      </c>
      <c r="E132" s="73" t="s">
        <v>547</v>
      </c>
      <c r="F132" s="73" t="s">
        <v>347</v>
      </c>
      <c r="G132" s="2" t="s">
        <v>235</v>
      </c>
    </row>
    <row r="133" spans="2:7" ht="15.75" customHeight="1" thickBot="1" x14ac:dyDescent="0.25">
      <c r="B133" s="74"/>
      <c r="C133" s="74"/>
      <c r="D133" s="74"/>
      <c r="E133" s="74"/>
      <c r="F133" s="74"/>
      <c r="G133" s="74"/>
    </row>
    <row r="134" spans="2:7" ht="15.75" customHeight="1" thickTop="1" x14ac:dyDescent="0.2"/>
    <row r="135" spans="2:7" x14ac:dyDescent="0.2">
      <c r="B135" s="72"/>
      <c r="C135" s="69"/>
      <c r="D135" s="73"/>
      <c r="E135" s="73"/>
      <c r="F135" s="73"/>
      <c r="G135" s="73"/>
    </row>
    <row r="136" spans="2:7" x14ac:dyDescent="0.2">
      <c r="B136" s="72"/>
      <c r="C136" s="69"/>
      <c r="D136" s="73"/>
      <c r="E136" s="73"/>
      <c r="F136" s="73"/>
      <c r="G136" s="73"/>
    </row>
    <row r="137" spans="2:7" x14ac:dyDescent="0.2">
      <c r="B137" s="72"/>
      <c r="C137" s="69"/>
      <c r="D137" s="73"/>
      <c r="E137" s="69"/>
      <c r="F137" s="73"/>
      <c r="G137" s="73"/>
    </row>
    <row r="138" spans="2:7" x14ac:dyDescent="0.2">
      <c r="B138" s="72"/>
      <c r="C138" s="69"/>
      <c r="D138" s="73"/>
      <c r="E138" s="73"/>
      <c r="F138" s="73"/>
      <c r="G138" s="73"/>
    </row>
    <row r="139" spans="2:7" x14ac:dyDescent="0.2">
      <c r="B139" s="72"/>
      <c r="C139" s="69"/>
      <c r="D139" s="73"/>
      <c r="E139" s="69"/>
      <c r="F139" s="73"/>
      <c r="G139" s="73"/>
    </row>
    <row r="140" spans="2:7" x14ac:dyDescent="0.2">
      <c r="B140" s="72"/>
      <c r="C140" s="69"/>
      <c r="D140" s="73"/>
      <c r="E140" s="73"/>
      <c r="F140" s="73"/>
      <c r="G140" s="73"/>
    </row>
    <row r="141" spans="2:7" x14ac:dyDescent="0.2">
      <c r="B141" s="72"/>
      <c r="C141" s="69"/>
      <c r="D141" s="73"/>
      <c r="E141" s="73"/>
      <c r="F141" s="73"/>
      <c r="G141" s="73"/>
    </row>
    <row r="142" spans="2:7" x14ac:dyDescent="0.2">
      <c r="B142" s="72"/>
      <c r="C142" s="69"/>
      <c r="D142" s="73"/>
      <c r="E142" s="73"/>
      <c r="F142" s="73"/>
      <c r="G142" s="73"/>
    </row>
    <row r="143" spans="2:7" x14ac:dyDescent="0.2">
      <c r="B143" s="72"/>
      <c r="C143" s="69"/>
      <c r="D143" s="73"/>
      <c r="E143" s="73"/>
      <c r="F143" s="73"/>
      <c r="G143" s="73"/>
    </row>
    <row r="144" spans="2:7" x14ac:dyDescent="0.2">
      <c r="B144" s="72"/>
      <c r="C144" s="69"/>
      <c r="D144" s="73"/>
      <c r="E144" s="73"/>
      <c r="F144" s="73"/>
      <c r="G144" s="73"/>
    </row>
    <row r="145" spans="2:7" x14ac:dyDescent="0.2">
      <c r="B145" s="72"/>
      <c r="C145" s="69"/>
      <c r="D145" s="73"/>
      <c r="E145" s="73"/>
      <c r="F145" s="73"/>
      <c r="G145" s="73"/>
    </row>
    <row r="146" spans="2:7" x14ac:dyDescent="0.2">
      <c r="B146" s="72"/>
      <c r="C146" s="69"/>
      <c r="D146" s="73"/>
      <c r="E146" s="73"/>
      <c r="F146" s="73"/>
      <c r="G146" s="73"/>
    </row>
    <row r="147" spans="2:7" x14ac:dyDescent="0.2">
      <c r="B147" s="72"/>
      <c r="C147" s="69"/>
      <c r="D147" s="73"/>
      <c r="E147" s="73"/>
      <c r="F147" s="73"/>
      <c r="G147" s="73"/>
    </row>
    <row r="148" spans="2:7" x14ac:dyDescent="0.2">
      <c r="B148" s="72"/>
      <c r="C148" s="69"/>
      <c r="D148" s="73"/>
      <c r="E148" s="73"/>
      <c r="F148" s="73"/>
      <c r="G148" s="73"/>
    </row>
    <row r="149" spans="2:7" x14ac:dyDescent="0.2">
      <c r="B149" s="72"/>
      <c r="C149" s="69"/>
      <c r="D149" s="73"/>
      <c r="E149" s="73"/>
      <c r="F149" s="73"/>
      <c r="G149" s="73"/>
    </row>
    <row r="150" spans="2:7" x14ac:dyDescent="0.2">
      <c r="B150" s="72"/>
      <c r="C150" s="69"/>
      <c r="D150" s="73"/>
      <c r="E150" s="73"/>
      <c r="F150" s="73"/>
      <c r="G150" s="73"/>
    </row>
    <row r="151" spans="2:7" x14ac:dyDescent="0.2">
      <c r="B151" s="72"/>
      <c r="C151" s="69"/>
      <c r="D151" s="73"/>
      <c r="E151" s="73"/>
      <c r="F151" s="73"/>
      <c r="G151" s="73"/>
    </row>
    <row r="152" spans="2:7" x14ac:dyDescent="0.2">
      <c r="B152" s="72"/>
      <c r="C152" s="69"/>
      <c r="D152" s="73"/>
      <c r="E152" s="73"/>
      <c r="F152" s="73"/>
      <c r="G152" s="73"/>
    </row>
    <row r="153" spans="2:7" x14ac:dyDescent="0.2">
      <c r="B153" s="72"/>
      <c r="C153" s="69"/>
      <c r="D153" s="73"/>
      <c r="E153" s="73"/>
      <c r="F153" s="73"/>
      <c r="G153" s="73"/>
    </row>
    <row r="154" spans="2:7" x14ac:dyDescent="0.2">
      <c r="B154" s="72"/>
      <c r="C154" s="69"/>
      <c r="D154" s="73"/>
      <c r="E154" s="73"/>
      <c r="F154" s="73"/>
      <c r="G154" s="73"/>
    </row>
    <row r="155" spans="2:7" x14ac:dyDescent="0.2">
      <c r="B155" s="72"/>
      <c r="C155" s="69"/>
      <c r="D155" s="73"/>
      <c r="E155" s="73"/>
      <c r="F155" s="73"/>
      <c r="G155" s="73"/>
    </row>
    <row r="156" spans="2:7" x14ac:dyDescent="0.2">
      <c r="B156" s="72"/>
      <c r="C156" s="69"/>
      <c r="D156" s="73"/>
      <c r="E156" s="73"/>
      <c r="F156" s="73"/>
      <c r="G156" s="73"/>
    </row>
    <row r="157" spans="2:7" x14ac:dyDescent="0.2">
      <c r="B157" s="72"/>
      <c r="C157" s="69"/>
      <c r="D157" s="73"/>
      <c r="E157" s="73"/>
      <c r="F157" s="73"/>
      <c r="G157" s="73"/>
    </row>
    <row r="158" spans="2:7" x14ac:dyDescent="0.2">
      <c r="B158" s="72"/>
      <c r="C158" s="69"/>
      <c r="D158" s="73"/>
      <c r="E158" s="73"/>
      <c r="F158" s="73"/>
      <c r="G158" s="73"/>
    </row>
    <row r="159" spans="2:7" x14ac:dyDescent="0.2">
      <c r="B159" s="72"/>
      <c r="C159" s="69"/>
      <c r="D159" s="73"/>
      <c r="E159" s="73"/>
      <c r="F159" s="73"/>
      <c r="G159" s="73"/>
    </row>
    <row r="160" spans="2:7" x14ac:dyDescent="0.2">
      <c r="B160" s="72"/>
      <c r="C160" s="69"/>
      <c r="D160" s="73"/>
      <c r="E160" s="73"/>
      <c r="F160" s="73"/>
      <c r="G160" s="73"/>
    </row>
  </sheetData>
  <pageMargins left="0.70866141732283472" right="0.70866141732283472" top="0.74803149606299213" bottom="0.74803149606299213" header="0.31496062992125978" footer="0.31496062992125978"/>
  <pageSetup paperSize="9" scale="66" fitToHeight="0" orientation="landscape" horizontalDpi="1200" verticalDpi="1200"/>
  <headerFooter>
    <oddFooter>&amp;L&amp;D&amp;CPage &amp;P of &amp;N&amp;R[Insert classification]</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2:F169"/>
  <sheetViews>
    <sheetView showGridLines="0" workbookViewId="0">
      <selection activeCell="H16" sqref="H16"/>
    </sheetView>
  </sheetViews>
  <sheetFormatPr defaultColWidth="9.14453125" defaultRowHeight="15" x14ac:dyDescent="0.2"/>
  <cols>
    <col min="1" max="1" width="2.82421875" style="20" customWidth="1"/>
    <col min="2" max="2" width="18.5625" style="20" customWidth="1"/>
    <col min="3" max="3" width="22.328125" style="20" customWidth="1"/>
    <col min="4" max="4" width="51.38671875" style="20" customWidth="1"/>
    <col min="5" max="5" width="9.14453125" style="20" customWidth="1"/>
    <col min="6" max="16384" width="9.14453125" style="20"/>
  </cols>
  <sheetData>
    <row r="2" spans="2:4" x14ac:dyDescent="0.2">
      <c r="B2" s="19"/>
      <c r="C2" s="19"/>
    </row>
    <row r="3" spans="2:4" x14ac:dyDescent="0.2">
      <c r="B3" s="19"/>
      <c r="C3" s="19"/>
    </row>
    <row r="4" spans="2:4" x14ac:dyDescent="0.2">
      <c r="B4" s="19"/>
      <c r="C4" s="19"/>
    </row>
    <row r="5" spans="2:4" x14ac:dyDescent="0.2">
      <c r="B5" s="19"/>
      <c r="C5" s="19"/>
    </row>
    <row r="6" spans="2:4" x14ac:dyDescent="0.2">
      <c r="B6" s="19"/>
      <c r="C6" s="19"/>
    </row>
    <row r="7" spans="2:4" x14ac:dyDescent="0.2">
      <c r="B7" s="19"/>
      <c r="C7" s="19"/>
    </row>
    <row r="8" spans="2:4" ht="21" customHeight="1" x14ac:dyDescent="0.2">
      <c r="B8" s="21" t="s">
        <v>548</v>
      </c>
      <c r="C8" s="21"/>
      <c r="D8" s="69"/>
    </row>
    <row r="9" spans="2:4" x14ac:dyDescent="0.2">
      <c r="B9" s="69" t="s">
        <v>549</v>
      </c>
      <c r="C9" s="69"/>
      <c r="D9" s="69"/>
    </row>
    <row r="10" spans="2:4" x14ac:dyDescent="0.2">
      <c r="B10" s="69" t="s">
        <v>550</v>
      </c>
      <c r="C10" s="69"/>
      <c r="D10" s="69"/>
    </row>
    <row r="11" spans="2:4" x14ac:dyDescent="0.2">
      <c r="B11" s="69"/>
      <c r="C11" s="69"/>
      <c r="D11" s="69"/>
    </row>
    <row r="12" spans="2:4" ht="21" customHeight="1" x14ac:dyDescent="0.2">
      <c r="B12" s="34" t="s">
        <v>551</v>
      </c>
      <c r="C12" s="34" t="s">
        <v>552</v>
      </c>
      <c r="D12" s="35" t="s">
        <v>553</v>
      </c>
    </row>
    <row r="13" spans="2:4" ht="15.75" customHeight="1" x14ac:dyDescent="0.2">
      <c r="B13" s="8" t="s">
        <v>308</v>
      </c>
      <c r="D13" t="s">
        <v>554</v>
      </c>
    </row>
    <row r="14" spans="2:4" x14ac:dyDescent="0.2">
      <c r="D14" t="s">
        <v>555</v>
      </c>
    </row>
    <row r="15" spans="2:4" x14ac:dyDescent="0.2">
      <c r="D15" t="s">
        <v>556</v>
      </c>
    </row>
    <row r="16" spans="2:4" ht="15.75" customHeight="1" thickBot="1" x14ac:dyDescent="0.25">
      <c r="B16" s="75"/>
      <c r="C16" s="75"/>
      <c r="D16" s="75"/>
    </row>
    <row r="17" spans="2:4" ht="16.5" customHeight="1" thickTop="1" x14ac:dyDescent="0.2">
      <c r="B17" s="8" t="s">
        <v>48</v>
      </c>
      <c r="C17" t="s">
        <v>557</v>
      </c>
      <c r="D17" t="s">
        <v>558</v>
      </c>
    </row>
    <row r="18" spans="2:4" x14ac:dyDescent="0.2">
      <c r="D18" t="s">
        <v>559</v>
      </c>
    </row>
    <row r="19" spans="2:4" x14ac:dyDescent="0.2">
      <c r="C19" t="s">
        <v>560</v>
      </c>
      <c r="D19" t="s">
        <v>561</v>
      </c>
    </row>
    <row r="20" spans="2:4" x14ac:dyDescent="0.2">
      <c r="D20" t="s">
        <v>562</v>
      </c>
    </row>
    <row r="21" spans="2:4" x14ac:dyDescent="0.2">
      <c r="D21" t="s">
        <v>563</v>
      </c>
    </row>
    <row r="22" spans="2:4" x14ac:dyDescent="0.2">
      <c r="D22" t="s">
        <v>564</v>
      </c>
    </row>
    <row r="23" spans="2:4" x14ac:dyDescent="0.2">
      <c r="C23" t="s">
        <v>565</v>
      </c>
      <c r="D23" t="s">
        <v>566</v>
      </c>
    </row>
    <row r="24" spans="2:4" x14ac:dyDescent="0.2">
      <c r="D24" t="s">
        <v>567</v>
      </c>
    </row>
    <row r="25" spans="2:4" x14ac:dyDescent="0.2">
      <c r="D25" t="s">
        <v>568</v>
      </c>
    </row>
    <row r="26" spans="2:4" x14ac:dyDescent="0.2">
      <c r="D26" t="s">
        <v>569</v>
      </c>
    </row>
    <row r="27" spans="2:4" x14ac:dyDescent="0.2">
      <c r="D27" t="s">
        <v>570</v>
      </c>
    </row>
    <row r="28" spans="2:4" x14ac:dyDescent="0.2">
      <c r="D28" t="s">
        <v>571</v>
      </c>
    </row>
    <row r="29" spans="2:4" x14ac:dyDescent="0.2">
      <c r="C29" t="s">
        <v>572</v>
      </c>
      <c r="D29" t="s">
        <v>573</v>
      </c>
    </row>
    <row r="30" spans="2:4" x14ac:dyDescent="0.2">
      <c r="D30" t="s">
        <v>574</v>
      </c>
    </row>
    <row r="31" spans="2:4" x14ac:dyDescent="0.2">
      <c r="D31" t="s">
        <v>575</v>
      </c>
    </row>
    <row r="32" spans="2:4" x14ac:dyDescent="0.2">
      <c r="D32" t="s">
        <v>576</v>
      </c>
    </row>
    <row r="33" spans="3:4" x14ac:dyDescent="0.2">
      <c r="D33" t="s">
        <v>577</v>
      </c>
    </row>
    <row r="34" spans="3:4" x14ac:dyDescent="0.2">
      <c r="D34" t="s">
        <v>578</v>
      </c>
    </row>
    <row r="35" spans="3:4" x14ac:dyDescent="0.2">
      <c r="D35" t="s">
        <v>579</v>
      </c>
    </row>
    <row r="36" spans="3:4" x14ac:dyDescent="0.2">
      <c r="D36" t="s">
        <v>580</v>
      </c>
    </row>
    <row r="37" spans="3:4" x14ac:dyDescent="0.2">
      <c r="D37" t="s">
        <v>581</v>
      </c>
    </row>
    <row r="38" spans="3:4" x14ac:dyDescent="0.2">
      <c r="C38" t="s">
        <v>582</v>
      </c>
      <c r="D38" t="s">
        <v>583</v>
      </c>
    </row>
    <row r="39" spans="3:4" x14ac:dyDescent="0.2">
      <c r="D39" t="s">
        <v>584</v>
      </c>
    </row>
    <row r="40" spans="3:4" x14ac:dyDescent="0.2">
      <c r="C40" t="s">
        <v>585</v>
      </c>
      <c r="D40" t="s">
        <v>586</v>
      </c>
    </row>
    <row r="41" spans="3:4" x14ac:dyDescent="0.2">
      <c r="D41" t="s">
        <v>587</v>
      </c>
    </row>
    <row r="42" spans="3:4" x14ac:dyDescent="0.2">
      <c r="D42" t="s">
        <v>588</v>
      </c>
    </row>
    <row r="43" spans="3:4" x14ac:dyDescent="0.2">
      <c r="C43" t="s">
        <v>589</v>
      </c>
      <c r="D43" t="s">
        <v>590</v>
      </c>
    </row>
    <row r="44" spans="3:4" x14ac:dyDescent="0.2">
      <c r="D44" t="s">
        <v>591</v>
      </c>
    </row>
    <row r="45" spans="3:4" x14ac:dyDescent="0.2">
      <c r="D45" t="s">
        <v>592</v>
      </c>
    </row>
    <row r="46" spans="3:4" x14ac:dyDescent="0.2">
      <c r="D46" t="s">
        <v>593</v>
      </c>
    </row>
    <row r="47" spans="3:4" x14ac:dyDescent="0.2">
      <c r="D47" t="s">
        <v>594</v>
      </c>
    </row>
    <row r="48" spans="3:4" x14ac:dyDescent="0.2">
      <c r="C48" t="s">
        <v>595</v>
      </c>
      <c r="D48" t="s">
        <v>596</v>
      </c>
    </row>
    <row r="49" spans="2:4" x14ac:dyDescent="0.2">
      <c r="D49" t="s">
        <v>597</v>
      </c>
    </row>
    <row r="50" spans="2:4" x14ac:dyDescent="0.2">
      <c r="D50" t="s">
        <v>598</v>
      </c>
    </row>
    <row r="51" spans="2:4" x14ac:dyDescent="0.2">
      <c r="D51" t="s">
        <v>599</v>
      </c>
    </row>
    <row r="52" spans="2:4" x14ac:dyDescent="0.2">
      <c r="D52" t="s">
        <v>600</v>
      </c>
    </row>
    <row r="53" spans="2:4" x14ac:dyDescent="0.2">
      <c r="C53" t="s">
        <v>601</v>
      </c>
      <c r="D53" t="s">
        <v>602</v>
      </c>
    </row>
    <row r="54" spans="2:4" x14ac:dyDescent="0.2">
      <c r="D54" t="s">
        <v>603</v>
      </c>
    </row>
    <row r="55" spans="2:4" x14ac:dyDescent="0.2">
      <c r="D55" t="s">
        <v>604</v>
      </c>
    </row>
    <row r="56" spans="2:4" ht="15.75" customHeight="1" thickBot="1" x14ac:dyDescent="0.25">
      <c r="B56" s="75"/>
      <c r="C56" s="75"/>
      <c r="D56" s="75"/>
    </row>
    <row r="57" spans="2:4" ht="16.5" customHeight="1" thickTop="1" x14ac:dyDescent="0.2">
      <c r="B57" s="8" t="s">
        <v>105</v>
      </c>
      <c r="D57" t="s">
        <v>605</v>
      </c>
    </row>
    <row r="58" spans="2:4" x14ac:dyDescent="0.2">
      <c r="D58" t="s">
        <v>606</v>
      </c>
    </row>
    <row r="59" spans="2:4" x14ac:dyDescent="0.2">
      <c r="D59" t="s">
        <v>607</v>
      </c>
    </row>
    <row r="60" spans="2:4" x14ac:dyDescent="0.2">
      <c r="D60" t="s">
        <v>608</v>
      </c>
    </row>
    <row r="61" spans="2:4" x14ac:dyDescent="0.2">
      <c r="D61" t="s">
        <v>609</v>
      </c>
    </row>
    <row r="62" spans="2:4" x14ac:dyDescent="0.2">
      <c r="D62" t="s">
        <v>610</v>
      </c>
    </row>
    <row r="63" spans="2:4" x14ac:dyDescent="0.2">
      <c r="D63" t="s">
        <v>611</v>
      </c>
    </row>
    <row r="64" spans="2:4" x14ac:dyDescent="0.2">
      <c r="D64" t="s">
        <v>612</v>
      </c>
    </row>
    <row r="65" spans="2:4" x14ac:dyDescent="0.2">
      <c r="D65" t="s">
        <v>613</v>
      </c>
    </row>
    <row r="66" spans="2:4" x14ac:dyDescent="0.2">
      <c r="D66" t="s">
        <v>614</v>
      </c>
    </row>
    <row r="67" spans="2:4" ht="15.75" customHeight="1" thickBot="1" x14ac:dyDescent="0.25">
      <c r="B67" s="75"/>
      <c r="C67" s="75"/>
      <c r="D67" s="75"/>
    </row>
    <row r="68" spans="2:4" ht="16.5" customHeight="1" thickTop="1" x14ac:dyDescent="0.2">
      <c r="B68" s="8" t="s">
        <v>122</v>
      </c>
      <c r="D68" t="s">
        <v>615</v>
      </c>
    </row>
    <row r="69" spans="2:4" x14ac:dyDescent="0.2">
      <c r="D69" t="s">
        <v>616</v>
      </c>
    </row>
    <row r="70" spans="2:4" x14ac:dyDescent="0.2">
      <c r="D70" t="s">
        <v>617</v>
      </c>
    </row>
    <row r="71" spans="2:4" x14ac:dyDescent="0.2">
      <c r="D71" t="s">
        <v>618</v>
      </c>
    </row>
    <row r="72" spans="2:4" x14ac:dyDescent="0.2">
      <c r="D72" t="s">
        <v>619</v>
      </c>
    </row>
    <row r="73" spans="2:4" ht="15.75" customHeight="1" thickBot="1" x14ac:dyDescent="0.25">
      <c r="B73" s="75"/>
      <c r="C73" s="75"/>
      <c r="D73" s="75"/>
    </row>
    <row r="74" spans="2:4" ht="16.5" customHeight="1" thickTop="1" x14ac:dyDescent="0.2">
      <c r="B74" s="8" t="s">
        <v>87</v>
      </c>
      <c r="D74" t="s">
        <v>620</v>
      </c>
    </row>
    <row r="75" spans="2:4" x14ac:dyDescent="0.2">
      <c r="D75" t="s">
        <v>621</v>
      </c>
    </row>
    <row r="76" spans="2:4" x14ac:dyDescent="0.2">
      <c r="D76" t="s">
        <v>622</v>
      </c>
    </row>
    <row r="77" spans="2:4" ht="15.75" customHeight="1" thickBot="1" x14ac:dyDescent="0.25">
      <c r="B77" s="75"/>
      <c r="C77" s="75"/>
      <c r="D77" s="75"/>
    </row>
    <row r="78" spans="2:4" ht="16.5" customHeight="1" thickTop="1" x14ac:dyDescent="0.2">
      <c r="B78" s="8" t="s">
        <v>320</v>
      </c>
      <c r="D78" t="s">
        <v>623</v>
      </c>
    </row>
    <row r="79" spans="2:4" x14ac:dyDescent="0.2">
      <c r="D79" t="s">
        <v>624</v>
      </c>
    </row>
    <row r="80" spans="2:4" x14ac:dyDescent="0.2">
      <c r="D80" t="s">
        <v>625</v>
      </c>
    </row>
    <row r="81" spans="2:4" x14ac:dyDescent="0.2">
      <c r="D81" t="s">
        <v>626</v>
      </c>
    </row>
    <row r="82" spans="2:4" x14ac:dyDescent="0.2">
      <c r="D82" t="s">
        <v>627</v>
      </c>
    </row>
    <row r="83" spans="2:4" x14ac:dyDescent="0.2">
      <c r="D83" t="s">
        <v>628</v>
      </c>
    </row>
    <row r="84" spans="2:4" x14ac:dyDescent="0.2">
      <c r="D84" t="s">
        <v>629</v>
      </c>
    </row>
    <row r="85" spans="2:4" x14ac:dyDescent="0.2">
      <c r="D85" t="s">
        <v>630</v>
      </c>
    </row>
    <row r="86" spans="2:4" x14ac:dyDescent="0.2">
      <c r="D86" t="s">
        <v>631</v>
      </c>
    </row>
    <row r="87" spans="2:4" ht="15.75" customHeight="1" thickBot="1" x14ac:dyDescent="0.25">
      <c r="B87" s="75"/>
      <c r="C87" s="75"/>
      <c r="D87" s="75"/>
    </row>
    <row r="88" spans="2:4" ht="16.5" customHeight="1" thickTop="1" x14ac:dyDescent="0.2">
      <c r="B88" s="8" t="s">
        <v>325</v>
      </c>
      <c r="C88" t="s">
        <v>632</v>
      </c>
      <c r="D88" t="s">
        <v>633</v>
      </c>
    </row>
    <row r="89" spans="2:4" x14ac:dyDescent="0.2">
      <c r="D89" t="s">
        <v>634</v>
      </c>
    </row>
    <row r="90" spans="2:4" x14ac:dyDescent="0.2">
      <c r="D90" t="s">
        <v>635</v>
      </c>
    </row>
    <row r="91" spans="2:4" x14ac:dyDescent="0.2">
      <c r="D91" t="s">
        <v>636</v>
      </c>
    </row>
    <row r="92" spans="2:4" ht="15.75" customHeight="1" thickBot="1" x14ac:dyDescent="0.25">
      <c r="B92" s="75"/>
      <c r="C92" s="75"/>
      <c r="D92" s="75"/>
    </row>
    <row r="93" spans="2:4" ht="16.5" customHeight="1" thickTop="1" x14ac:dyDescent="0.2">
      <c r="B93" s="8" t="s">
        <v>298</v>
      </c>
      <c r="D93" t="s">
        <v>637</v>
      </c>
    </row>
    <row r="94" spans="2:4" x14ac:dyDescent="0.2">
      <c r="D94" t="s">
        <v>638</v>
      </c>
    </row>
    <row r="95" spans="2:4" x14ac:dyDescent="0.2">
      <c r="D95" t="s">
        <v>639</v>
      </c>
    </row>
    <row r="96" spans="2:4" x14ac:dyDescent="0.2">
      <c r="D96" t="s">
        <v>640</v>
      </c>
    </row>
    <row r="97" spans="2:4" ht="15.75" customHeight="1" thickBot="1" x14ac:dyDescent="0.25">
      <c r="B97" s="75"/>
      <c r="C97" s="75"/>
      <c r="D97" s="75"/>
    </row>
    <row r="98" spans="2:4" ht="16.5" customHeight="1" thickTop="1" x14ac:dyDescent="0.2">
      <c r="B98" s="8" t="s">
        <v>641</v>
      </c>
      <c r="D98" t="s">
        <v>641</v>
      </c>
    </row>
    <row r="99" spans="2:4" ht="15.75" customHeight="1" thickBot="1" x14ac:dyDescent="0.25">
      <c r="B99" s="76"/>
      <c r="C99" s="76"/>
      <c r="D99" s="76"/>
    </row>
    <row r="100" spans="2:4" ht="15.75" customHeight="1" thickTop="1" x14ac:dyDescent="0.2">
      <c r="D100" s="73"/>
    </row>
    <row r="101" spans="2:4" x14ac:dyDescent="0.2">
      <c r="B101" s="72"/>
      <c r="D101" s="73"/>
    </row>
    <row r="102" spans="2:4" x14ac:dyDescent="0.2">
      <c r="B102" s="72"/>
      <c r="D102" s="73"/>
    </row>
    <row r="103" spans="2:4" x14ac:dyDescent="0.2">
      <c r="B103" s="72"/>
      <c r="D103" s="73"/>
    </row>
    <row r="104" spans="2:4" x14ac:dyDescent="0.2">
      <c r="B104" s="72"/>
      <c r="D104" s="73"/>
    </row>
    <row r="105" spans="2:4" x14ac:dyDescent="0.2">
      <c r="B105" s="72"/>
    </row>
    <row r="106" spans="2:4" x14ac:dyDescent="0.2">
      <c r="B106" s="72"/>
    </row>
    <row r="107" spans="2:4" x14ac:dyDescent="0.2">
      <c r="B107" s="72"/>
    </row>
    <row r="108" spans="2:4" x14ac:dyDescent="0.2">
      <c r="B108" s="72"/>
    </row>
    <row r="109" spans="2:4" x14ac:dyDescent="0.2">
      <c r="B109" s="72"/>
    </row>
    <row r="110" spans="2:4" x14ac:dyDescent="0.2">
      <c r="B110" s="72"/>
      <c r="D110" s="73"/>
    </row>
    <row r="111" spans="2:4" x14ac:dyDescent="0.2">
      <c r="B111" s="72"/>
      <c r="D111" s="73"/>
    </row>
    <row r="112" spans="2:4" x14ac:dyDescent="0.2">
      <c r="B112" s="72"/>
      <c r="D112" s="73"/>
    </row>
    <row r="113" spans="2:4" x14ac:dyDescent="0.2">
      <c r="B113" s="72"/>
      <c r="D113" s="73"/>
    </row>
    <row r="114" spans="2:4" x14ac:dyDescent="0.2">
      <c r="B114" s="72"/>
      <c r="D114" s="73"/>
    </row>
    <row r="115" spans="2:4" x14ac:dyDescent="0.2">
      <c r="B115" s="72"/>
      <c r="D115" s="73"/>
    </row>
    <row r="116" spans="2:4" x14ac:dyDescent="0.2">
      <c r="B116" s="72"/>
      <c r="D116" s="73"/>
    </row>
    <row r="117" spans="2:4" x14ac:dyDescent="0.2">
      <c r="B117" s="72"/>
      <c r="D117" s="73"/>
    </row>
    <row r="118" spans="2:4" x14ac:dyDescent="0.2">
      <c r="B118" s="72"/>
      <c r="D118" s="73"/>
    </row>
    <row r="119" spans="2:4" x14ac:dyDescent="0.2">
      <c r="B119" s="72"/>
      <c r="D119" s="73"/>
    </row>
    <row r="120" spans="2:4" x14ac:dyDescent="0.2">
      <c r="B120" s="72"/>
      <c r="D120" s="73"/>
    </row>
    <row r="121" spans="2:4" x14ac:dyDescent="0.2">
      <c r="B121" s="72"/>
      <c r="D121" s="73"/>
    </row>
    <row r="122" spans="2:4" x14ac:dyDescent="0.2">
      <c r="B122" s="72"/>
      <c r="D122" s="73"/>
    </row>
    <row r="123" spans="2:4" x14ac:dyDescent="0.2">
      <c r="B123" s="72"/>
      <c r="D123" s="73"/>
    </row>
    <row r="124" spans="2:4" x14ac:dyDescent="0.2">
      <c r="B124" s="72"/>
      <c r="D124" s="73"/>
    </row>
    <row r="125" spans="2:4" x14ac:dyDescent="0.2">
      <c r="B125" s="72"/>
      <c r="D125" s="73"/>
    </row>
    <row r="126" spans="2:4" x14ac:dyDescent="0.2">
      <c r="B126" s="72"/>
      <c r="D126" s="73"/>
    </row>
    <row r="127" spans="2:4" x14ac:dyDescent="0.2">
      <c r="B127" s="72"/>
      <c r="D127" s="73"/>
    </row>
    <row r="128" spans="2:4" x14ac:dyDescent="0.2">
      <c r="B128" s="72"/>
      <c r="D128" s="73"/>
    </row>
    <row r="129" spans="2:4" x14ac:dyDescent="0.2">
      <c r="B129" s="72"/>
      <c r="D129" s="73"/>
    </row>
    <row r="130" spans="2:4" x14ac:dyDescent="0.2">
      <c r="B130" s="72"/>
      <c r="D130" s="73"/>
    </row>
    <row r="131" spans="2:4" x14ac:dyDescent="0.2">
      <c r="B131" s="72"/>
      <c r="D131" s="73"/>
    </row>
    <row r="132" spans="2:4" x14ac:dyDescent="0.2">
      <c r="B132" s="72"/>
      <c r="D132" s="73"/>
    </row>
    <row r="133" spans="2:4" x14ac:dyDescent="0.2">
      <c r="B133" s="72"/>
      <c r="D133" s="73"/>
    </row>
    <row r="134" spans="2:4" x14ac:dyDescent="0.2">
      <c r="B134" s="72"/>
      <c r="D134" s="73"/>
    </row>
    <row r="135" spans="2:4" x14ac:dyDescent="0.2">
      <c r="B135" s="72"/>
      <c r="D135" s="73"/>
    </row>
    <row r="136" spans="2:4" x14ac:dyDescent="0.2">
      <c r="B136" s="72"/>
      <c r="D136" s="73"/>
    </row>
    <row r="137" spans="2:4" x14ac:dyDescent="0.2">
      <c r="B137" s="72"/>
      <c r="D137" s="73"/>
    </row>
    <row r="138" spans="2:4" x14ac:dyDescent="0.2">
      <c r="B138" s="72"/>
      <c r="D138" s="73"/>
    </row>
    <row r="139" spans="2:4" x14ac:dyDescent="0.2">
      <c r="B139" s="72"/>
      <c r="D139" s="73"/>
    </row>
    <row r="140" spans="2:4" x14ac:dyDescent="0.2">
      <c r="B140" s="72"/>
      <c r="D140" s="73"/>
    </row>
    <row r="141" spans="2:4" x14ac:dyDescent="0.2">
      <c r="B141" s="72"/>
      <c r="D141" s="73"/>
    </row>
    <row r="142" spans="2:4" x14ac:dyDescent="0.2">
      <c r="B142" s="72"/>
      <c r="D142" s="73"/>
    </row>
    <row r="143" spans="2:4" x14ac:dyDescent="0.2">
      <c r="B143" s="72"/>
      <c r="D143" s="73"/>
    </row>
    <row r="144" spans="2:4" x14ac:dyDescent="0.2">
      <c r="B144" s="72"/>
      <c r="D144" s="73"/>
    </row>
    <row r="145" spans="2:6" x14ac:dyDescent="0.2">
      <c r="B145" s="72"/>
      <c r="D145" s="73"/>
    </row>
    <row r="146" spans="2:6" x14ac:dyDescent="0.2">
      <c r="B146" s="72"/>
      <c r="D146" s="73"/>
    </row>
    <row r="147" spans="2:6" x14ac:dyDescent="0.2">
      <c r="B147" s="72"/>
      <c r="D147" s="73"/>
    </row>
    <row r="148" spans="2:6" x14ac:dyDescent="0.2">
      <c r="B148" s="72"/>
      <c r="D148" s="73"/>
    </row>
    <row r="149" spans="2:6" x14ac:dyDescent="0.2">
      <c r="B149" s="72"/>
      <c r="D149" s="73"/>
    </row>
    <row r="150" spans="2:6" x14ac:dyDescent="0.2">
      <c r="B150" s="72"/>
      <c r="D150" s="73"/>
    </row>
    <row r="151" spans="2:6" x14ac:dyDescent="0.2">
      <c r="B151" s="72"/>
      <c r="D151" s="73"/>
    </row>
    <row r="152" spans="2:6" x14ac:dyDescent="0.2">
      <c r="B152" s="72"/>
      <c r="D152" s="73"/>
    </row>
    <row r="153" spans="2:6" x14ac:dyDescent="0.2">
      <c r="B153" s="72"/>
      <c r="D153" s="73"/>
    </row>
    <row r="154" spans="2:6" x14ac:dyDescent="0.2">
      <c r="B154" s="72"/>
      <c r="D154" s="73"/>
    </row>
    <row r="155" spans="2:6" x14ac:dyDescent="0.2">
      <c r="B155" s="72"/>
      <c r="D155" s="73"/>
    </row>
    <row r="156" spans="2:6" x14ac:dyDescent="0.2">
      <c r="B156" s="72"/>
      <c r="C156" s="72"/>
      <c r="D156" s="72"/>
      <c r="E156" s="72"/>
      <c r="F156" s="72"/>
    </row>
    <row r="157" spans="2:6" x14ac:dyDescent="0.2">
      <c r="B157" s="72"/>
      <c r="C157" s="72"/>
      <c r="D157" s="72"/>
      <c r="E157" s="72"/>
      <c r="F157" s="72"/>
    </row>
    <row r="158" spans="2:6" x14ac:dyDescent="0.2">
      <c r="B158" s="72"/>
      <c r="C158" s="72"/>
      <c r="D158" s="72"/>
      <c r="E158" s="72"/>
      <c r="F158" s="72"/>
    </row>
    <row r="159" spans="2:6" x14ac:dyDescent="0.2">
      <c r="B159" s="72"/>
      <c r="C159" s="72"/>
      <c r="D159" s="72"/>
      <c r="E159" s="72"/>
      <c r="F159" s="72"/>
    </row>
    <row r="160" spans="2:6" x14ac:dyDescent="0.2">
      <c r="B160" s="72"/>
      <c r="C160" s="72"/>
      <c r="D160" s="72"/>
      <c r="E160" s="72"/>
      <c r="F160" s="72"/>
    </row>
    <row r="161" spans="2:6" x14ac:dyDescent="0.2">
      <c r="B161" s="72"/>
      <c r="C161" s="72"/>
      <c r="D161" s="72"/>
      <c r="E161" s="72"/>
      <c r="F161" s="72"/>
    </row>
    <row r="162" spans="2:6" x14ac:dyDescent="0.2">
      <c r="B162" s="72"/>
      <c r="C162" s="72"/>
      <c r="D162" s="72"/>
      <c r="E162" s="72"/>
      <c r="F162" s="72"/>
    </row>
    <row r="163" spans="2:6" x14ac:dyDescent="0.2">
      <c r="B163" s="72"/>
      <c r="C163" s="72"/>
      <c r="D163" s="72"/>
      <c r="E163" s="72"/>
      <c r="F163" s="72"/>
    </row>
    <row r="164" spans="2:6" x14ac:dyDescent="0.2">
      <c r="B164" s="72"/>
      <c r="C164" s="72"/>
      <c r="D164" s="72"/>
      <c r="E164" s="72"/>
      <c r="F164" s="72"/>
    </row>
    <row r="165" spans="2:6" x14ac:dyDescent="0.2">
      <c r="B165" s="72"/>
      <c r="C165" s="72"/>
      <c r="D165" s="72"/>
      <c r="E165" s="72"/>
      <c r="F165" s="72"/>
    </row>
    <row r="166" spans="2:6" x14ac:dyDescent="0.2">
      <c r="B166" s="72"/>
      <c r="C166" s="72"/>
      <c r="D166" s="72"/>
      <c r="E166" s="72"/>
      <c r="F166" s="72"/>
    </row>
    <row r="167" spans="2:6" x14ac:dyDescent="0.2">
      <c r="B167" s="72"/>
      <c r="C167" s="72"/>
      <c r="D167" s="72"/>
      <c r="E167" s="72"/>
      <c r="F167" s="72"/>
    </row>
    <row r="168" spans="2:6" x14ac:dyDescent="0.2">
      <c r="B168" s="72"/>
      <c r="C168" s="72"/>
      <c r="D168" s="72"/>
      <c r="E168" s="72"/>
      <c r="F168" s="72"/>
    </row>
    <row r="169" spans="2:6" x14ac:dyDescent="0.2">
      <c r="B169" s="72"/>
      <c r="C169" s="72"/>
      <c r="D169" s="72"/>
      <c r="E169" s="72"/>
      <c r="F169" s="72"/>
    </row>
  </sheetData>
  <pageMargins left="0.70866141732283472" right="0.70866141732283472" top="0.74803149606299213" bottom="0.74803149606299213" header="0.31496062992125978" footer="0.31496062992125978"/>
  <pageSetup paperSize="9" scale="92" fitToHeight="0" orientation="portrait" horizontalDpi="1200" verticalDpi="1200"/>
  <headerFooter>
    <oddFooter>&amp;L&amp;D&amp;CPage &amp;P of &amp;N&amp;R[Insert classification]</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2:D44"/>
  <sheetViews>
    <sheetView showGridLines="0" topLeftCell="A4" workbookViewId="0"/>
  </sheetViews>
  <sheetFormatPr defaultColWidth="9.14453125" defaultRowHeight="15" x14ac:dyDescent="0.2"/>
  <cols>
    <col min="1" max="1" width="2.82421875" style="3" customWidth="1"/>
    <col min="2" max="2" width="19.63671875" style="3" customWidth="1"/>
    <col min="3" max="3" width="45.87109375" style="3" customWidth="1"/>
    <col min="4" max="4" width="56.09375" style="3" customWidth="1"/>
    <col min="5" max="5" width="9.14453125" style="3" customWidth="1"/>
    <col min="6" max="16384" width="9.14453125" style="3"/>
  </cols>
  <sheetData>
    <row r="2" spans="2:4" x14ac:dyDescent="0.2">
      <c r="B2" s="4"/>
      <c r="C2" s="4"/>
    </row>
    <row r="3" spans="2:4" x14ac:dyDescent="0.2">
      <c r="B3" s="4"/>
      <c r="C3" s="4"/>
    </row>
    <row r="4" spans="2:4" x14ac:dyDescent="0.2">
      <c r="B4" s="4"/>
      <c r="C4" s="4"/>
    </row>
    <row r="5" spans="2:4" x14ac:dyDescent="0.2">
      <c r="B5" s="4"/>
      <c r="C5" s="4"/>
    </row>
    <row r="6" spans="2:4" x14ac:dyDescent="0.2">
      <c r="B6" s="4"/>
      <c r="C6" s="4"/>
    </row>
    <row r="7" spans="2:4" x14ac:dyDescent="0.2">
      <c r="B7" s="4"/>
      <c r="C7" s="4"/>
    </row>
    <row r="8" spans="2:4" ht="21" customHeight="1" x14ac:dyDescent="0.2">
      <c r="B8" s="10" t="s">
        <v>642</v>
      </c>
      <c r="C8" s="10"/>
      <c r="D8" s="11"/>
    </row>
    <row r="9" spans="2:4" x14ac:dyDescent="0.2">
      <c r="B9" s="11" t="s">
        <v>643</v>
      </c>
      <c r="C9" s="11"/>
      <c r="D9" s="11"/>
    </row>
    <row r="10" spans="2:4" x14ac:dyDescent="0.2">
      <c r="B10" s="11"/>
      <c r="C10" s="11"/>
      <c r="D10" s="11"/>
    </row>
    <row r="11" spans="2:4" ht="21" customHeight="1" x14ac:dyDescent="0.2">
      <c r="B11" s="32" t="s">
        <v>644</v>
      </c>
      <c r="C11" s="32" t="s">
        <v>645</v>
      </c>
      <c r="D11" s="36" t="s">
        <v>646</v>
      </c>
    </row>
    <row r="12" spans="2:4" ht="30" customHeight="1" x14ac:dyDescent="0.2">
      <c r="B12" s="33" t="s">
        <v>647</v>
      </c>
      <c r="C12" s="11" t="s">
        <v>648</v>
      </c>
      <c r="D12" s="7" t="s">
        <v>649</v>
      </c>
    </row>
    <row r="13" spans="2:4" ht="30" customHeight="1" x14ac:dyDescent="0.2">
      <c r="B13" s="77"/>
      <c r="C13" s="11" t="s">
        <v>650</v>
      </c>
      <c r="D13" s="7" t="s">
        <v>651</v>
      </c>
    </row>
    <row r="14" spans="2:4" ht="30" customHeight="1" x14ac:dyDescent="0.2">
      <c r="B14" s="77"/>
      <c r="C14" s="11" t="s">
        <v>652</v>
      </c>
      <c r="D14" s="7" t="s">
        <v>653</v>
      </c>
    </row>
    <row r="15" spans="2:4" x14ac:dyDescent="0.2">
      <c r="B15" s="77"/>
      <c r="C15" s="11" t="s">
        <v>654</v>
      </c>
      <c r="D15" s="7" t="s">
        <v>655</v>
      </c>
    </row>
    <row r="16" spans="2:4" x14ac:dyDescent="0.2">
      <c r="B16" s="77"/>
      <c r="C16" s="11" t="s">
        <v>656</v>
      </c>
      <c r="D16" s="7" t="s">
        <v>657</v>
      </c>
    </row>
    <row r="17" spans="1:4" ht="15.75" customHeight="1" thickBot="1" x14ac:dyDescent="0.25">
      <c r="B17" s="75"/>
      <c r="C17" s="75"/>
      <c r="D17" s="75"/>
    </row>
    <row r="18" spans="1:4" ht="16.5" customHeight="1" thickTop="1" x14ac:dyDescent="0.2">
      <c r="B18" s="33" t="s">
        <v>658</v>
      </c>
      <c r="C18" s="11" t="s">
        <v>659</v>
      </c>
      <c r="D18" s="7" t="s">
        <v>660</v>
      </c>
    </row>
    <row r="19" spans="1:4" ht="30" customHeight="1" x14ac:dyDescent="0.2">
      <c r="B19" s="77"/>
      <c r="C19" s="11" t="s">
        <v>661</v>
      </c>
      <c r="D19" s="7" t="s">
        <v>662</v>
      </c>
    </row>
    <row r="20" spans="1:4" x14ac:dyDescent="0.2">
      <c r="B20" s="77"/>
      <c r="C20" s="11" t="s">
        <v>663</v>
      </c>
      <c r="D20" s="7" t="s">
        <v>664</v>
      </c>
    </row>
    <row r="21" spans="1:4" ht="30" customHeight="1" x14ac:dyDescent="0.2">
      <c r="B21" s="77"/>
      <c r="C21" s="11" t="s">
        <v>665</v>
      </c>
      <c r="D21" s="7" t="s">
        <v>666</v>
      </c>
    </row>
    <row r="22" spans="1:4" ht="30" customHeight="1" x14ac:dyDescent="0.2">
      <c r="B22" s="77"/>
      <c r="C22" s="11" t="s">
        <v>667</v>
      </c>
      <c r="D22" s="7" t="s">
        <v>668</v>
      </c>
    </row>
    <row r="23" spans="1:4" ht="15.75" customHeight="1" thickBot="1" x14ac:dyDescent="0.25">
      <c r="B23" s="75"/>
      <c r="C23" s="75"/>
      <c r="D23" s="75"/>
    </row>
    <row r="24" spans="1:4" ht="16.5" customHeight="1" thickTop="1" x14ac:dyDescent="0.2">
      <c r="A24" s="78"/>
      <c r="B24" s="33" t="s">
        <v>669</v>
      </c>
      <c r="C24" s="11" t="s">
        <v>670</v>
      </c>
      <c r="D24" s="7" t="s">
        <v>671</v>
      </c>
    </row>
    <row r="25" spans="1:4" ht="30" customHeight="1" x14ac:dyDescent="0.2">
      <c r="A25" s="78"/>
      <c r="B25" s="77"/>
      <c r="C25" s="11" t="s">
        <v>672</v>
      </c>
      <c r="D25" s="7" t="s">
        <v>673</v>
      </c>
    </row>
    <row r="26" spans="1:4" ht="30" customHeight="1" x14ac:dyDescent="0.2">
      <c r="A26" s="78"/>
      <c r="B26" s="77"/>
      <c r="C26" s="11" t="s">
        <v>674</v>
      </c>
      <c r="D26" s="7" t="s">
        <v>675</v>
      </c>
    </row>
    <row r="27" spans="1:4" ht="15.75" customHeight="1" thickBot="1" x14ac:dyDescent="0.25">
      <c r="B27" s="75"/>
      <c r="C27" s="75"/>
      <c r="D27" s="75"/>
    </row>
    <row r="28" spans="1:4" ht="16.5" customHeight="1" thickTop="1" x14ac:dyDescent="0.2">
      <c r="B28" s="33" t="s">
        <v>676</v>
      </c>
      <c r="C28" s="11" t="s">
        <v>677</v>
      </c>
      <c r="D28" s="7" t="s">
        <v>678</v>
      </c>
    </row>
    <row r="29" spans="1:4" ht="30" customHeight="1" x14ac:dyDescent="0.2">
      <c r="B29" s="77"/>
      <c r="C29" s="11" t="s">
        <v>679</v>
      </c>
      <c r="D29" s="7" t="s">
        <v>680</v>
      </c>
    </row>
    <row r="30" spans="1:4" ht="30" customHeight="1" x14ac:dyDescent="0.2">
      <c r="B30" s="77"/>
      <c r="C30" s="11" t="s">
        <v>681</v>
      </c>
      <c r="D30" s="7" t="s">
        <v>682</v>
      </c>
    </row>
    <row r="31" spans="1:4" ht="15.75" customHeight="1" thickBot="1" x14ac:dyDescent="0.25">
      <c r="B31" s="75"/>
      <c r="C31" s="75"/>
      <c r="D31" s="75"/>
    </row>
    <row r="32" spans="1:4" ht="30.75" customHeight="1" thickTop="1" x14ac:dyDescent="0.2">
      <c r="B32" s="33" t="s">
        <v>683</v>
      </c>
      <c r="C32" s="11" t="s">
        <v>684</v>
      </c>
      <c r="D32" s="7" t="s">
        <v>685</v>
      </c>
    </row>
    <row r="33" spans="2:4" x14ac:dyDescent="0.2">
      <c r="B33" s="77"/>
      <c r="C33" s="11" t="s">
        <v>686</v>
      </c>
      <c r="D33" s="7" t="s">
        <v>687</v>
      </c>
    </row>
    <row r="34" spans="2:4" x14ac:dyDescent="0.2">
      <c r="B34" s="77"/>
      <c r="C34" s="11" t="s">
        <v>688</v>
      </c>
      <c r="D34" s="7" t="s">
        <v>689</v>
      </c>
    </row>
    <row r="35" spans="2:4" ht="15.75" customHeight="1" thickBot="1" x14ac:dyDescent="0.25">
      <c r="B35" s="75"/>
      <c r="C35" s="75"/>
      <c r="D35" s="75"/>
    </row>
    <row r="36" spans="2:4" ht="45.75" customHeight="1" thickTop="1" x14ac:dyDescent="0.2">
      <c r="B36" s="33" t="s">
        <v>690</v>
      </c>
      <c r="C36" s="11" t="s">
        <v>691</v>
      </c>
      <c r="D36" s="7" t="s">
        <v>692</v>
      </c>
    </row>
    <row r="37" spans="2:4" ht="30" customHeight="1" x14ac:dyDescent="0.2">
      <c r="B37" s="77"/>
      <c r="C37" s="11" t="s">
        <v>693</v>
      </c>
      <c r="D37" s="7" t="s">
        <v>694</v>
      </c>
    </row>
    <row r="38" spans="2:4" ht="15.75" customHeight="1" thickBot="1" x14ac:dyDescent="0.25">
      <c r="B38" s="79"/>
      <c r="C38" s="79"/>
      <c r="D38" s="80"/>
    </row>
    <row r="39" spans="2:4" ht="15.75" customHeight="1" thickTop="1" x14ac:dyDescent="0.2">
      <c r="B39" s="6"/>
      <c r="C39" s="6"/>
      <c r="D39" s="2"/>
    </row>
    <row r="40" spans="2:4" x14ac:dyDescent="0.2">
      <c r="B40" s="6"/>
      <c r="C40" s="6"/>
      <c r="D40" s="2"/>
    </row>
    <row r="41" spans="2:4" x14ac:dyDescent="0.2">
      <c r="B41" s="6"/>
      <c r="C41" s="6"/>
      <c r="D41" s="2"/>
    </row>
    <row r="42" spans="2:4" x14ac:dyDescent="0.2">
      <c r="B42" s="6"/>
      <c r="C42" s="6"/>
      <c r="D42" s="2"/>
    </row>
    <row r="43" spans="2:4" x14ac:dyDescent="0.2">
      <c r="B43" s="6"/>
      <c r="C43" s="6"/>
      <c r="D43" s="2"/>
    </row>
    <row r="44" spans="2:4" x14ac:dyDescent="0.2">
      <c r="B44" s="6"/>
      <c r="C44" s="6"/>
      <c r="D44" s="2"/>
    </row>
  </sheetData>
  <pageMargins left="0.70866141732283472" right="0.70866141732283472" top="0.74803149606299213" bottom="0.74803149606299213" header="0.31496062992125978" footer="0.31496062992125978"/>
  <pageSetup paperSize="9" scale="70" fitToHeight="0" orientation="portrait" horizontalDpi="1200" verticalDpi="1200"/>
  <headerFooter>
    <oddFooter>&amp;L&amp;D&amp;CPage &amp;P of &amp;N&amp;R[Insert classification]</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dimension ref="B2:D27"/>
  <sheetViews>
    <sheetView showGridLines="0" workbookViewId="0">
      <selection activeCell="C5" sqref="C5"/>
    </sheetView>
  </sheetViews>
  <sheetFormatPr defaultColWidth="9.14453125" defaultRowHeight="15" x14ac:dyDescent="0.2"/>
  <cols>
    <col min="1" max="1" width="2.82421875" style="3" customWidth="1"/>
    <col min="2" max="2" width="11.703125" style="3" customWidth="1"/>
    <col min="3" max="3" width="16.27734375" style="3" customWidth="1"/>
    <col min="4" max="4" width="58.3828125" style="3" customWidth="1"/>
    <col min="5" max="5" width="9.14453125" style="3" customWidth="1"/>
    <col min="6" max="16384" width="9.14453125" style="3"/>
  </cols>
  <sheetData>
    <row r="2" spans="2:4" x14ac:dyDescent="0.2">
      <c r="B2" s="4"/>
      <c r="C2" s="4"/>
    </row>
    <row r="3" spans="2:4" x14ac:dyDescent="0.2">
      <c r="B3" s="4"/>
      <c r="C3" s="4"/>
    </row>
    <row r="4" spans="2:4" x14ac:dyDescent="0.2">
      <c r="B4" s="4"/>
      <c r="C4" s="4"/>
    </row>
    <row r="5" spans="2:4" x14ac:dyDescent="0.2">
      <c r="B5" s="4"/>
      <c r="C5" s="4"/>
    </row>
    <row r="6" spans="2:4" x14ac:dyDescent="0.2">
      <c r="B6" s="4"/>
      <c r="C6" s="4"/>
    </row>
    <row r="7" spans="2:4" x14ac:dyDescent="0.2">
      <c r="B7" s="4"/>
      <c r="C7" s="4"/>
    </row>
    <row r="8" spans="2:4" ht="21" customHeight="1" x14ac:dyDescent="0.2">
      <c r="B8" s="10" t="s">
        <v>27</v>
      </c>
      <c r="C8" s="10"/>
      <c r="D8" s="11"/>
    </row>
    <row r="9" spans="2:4" x14ac:dyDescent="0.2">
      <c r="B9" s="11" t="s">
        <v>695</v>
      </c>
      <c r="C9" s="11"/>
      <c r="D9" s="11"/>
    </row>
    <row r="10" spans="2:4" x14ac:dyDescent="0.2">
      <c r="B10" s="11"/>
      <c r="C10" s="11"/>
      <c r="D10" s="11"/>
    </row>
    <row r="11" spans="2:4" ht="21" customHeight="1" x14ac:dyDescent="0.2">
      <c r="B11" s="32" t="s">
        <v>696</v>
      </c>
      <c r="C11" s="32" t="s">
        <v>697</v>
      </c>
      <c r="D11" s="36" t="s">
        <v>698</v>
      </c>
    </row>
    <row r="12" spans="2:4" ht="30" customHeight="1" x14ac:dyDescent="0.2">
      <c r="B12" s="12">
        <v>1</v>
      </c>
      <c r="C12" s="7" t="s">
        <v>699</v>
      </c>
      <c r="D12" s="7" t="s">
        <v>700</v>
      </c>
    </row>
    <row r="13" spans="2:4" x14ac:dyDescent="0.2">
      <c r="B13" s="12">
        <v>2</v>
      </c>
      <c r="C13" s="7" t="s">
        <v>701</v>
      </c>
      <c r="D13" s="7" t="s">
        <v>702</v>
      </c>
    </row>
    <row r="14" spans="2:4" ht="30" customHeight="1" x14ac:dyDescent="0.2">
      <c r="B14" s="12">
        <v>3</v>
      </c>
      <c r="C14" s="7" t="s">
        <v>703</v>
      </c>
      <c r="D14" s="7" t="s">
        <v>704</v>
      </c>
    </row>
    <row r="15" spans="2:4" ht="30" customHeight="1" x14ac:dyDescent="0.2">
      <c r="B15" s="12">
        <v>4</v>
      </c>
      <c r="C15" s="7" t="s">
        <v>705</v>
      </c>
      <c r="D15" s="7" t="s">
        <v>706</v>
      </c>
    </row>
    <row r="16" spans="2:4" ht="30" customHeight="1" x14ac:dyDescent="0.2">
      <c r="B16" s="12">
        <v>5</v>
      </c>
      <c r="C16" s="7" t="s">
        <v>707</v>
      </c>
      <c r="D16" s="7" t="s">
        <v>708</v>
      </c>
    </row>
    <row r="17" spans="2:4" ht="15.75" customHeight="1" thickBot="1" x14ac:dyDescent="0.25">
      <c r="B17" s="37"/>
      <c r="C17" s="37"/>
      <c r="D17" s="37"/>
    </row>
    <row r="18" spans="2:4" ht="15.75" customHeight="1" thickTop="1" x14ac:dyDescent="0.2"/>
    <row r="24" spans="2:4" x14ac:dyDescent="0.2">
      <c r="B24" s="6"/>
      <c r="C24" s="6"/>
      <c r="D24" s="2"/>
    </row>
    <row r="25" spans="2:4" x14ac:dyDescent="0.2">
      <c r="B25" s="6"/>
      <c r="C25" s="6"/>
      <c r="D25" s="2"/>
    </row>
    <row r="26" spans="2:4" x14ac:dyDescent="0.2">
      <c r="B26" s="6"/>
      <c r="C26" s="6"/>
      <c r="D26" s="2"/>
    </row>
    <row r="27" spans="2:4" x14ac:dyDescent="0.2">
      <c r="B27" s="6"/>
      <c r="C27" s="6"/>
      <c r="D27" s="2"/>
    </row>
  </sheetData>
  <pageMargins left="0.70866141732283472" right="0.70866141732283472" top="0.74803149606299213" bottom="0.74803149606299213" header="0.31496062992125978" footer="0.31496062992125978"/>
  <pageSetup paperSize="9" orientation="landscape" horizontalDpi="1200" verticalDpi="1200"/>
  <headerFooter>
    <oddFooter>&amp;L&amp;D&amp;CPage &amp;P of &amp;N&amp;R[Insert classification]</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9">
    <pageSetUpPr fitToPage="1"/>
  </sheetPr>
  <dimension ref="B2:O28"/>
  <sheetViews>
    <sheetView showGridLines="0" workbookViewId="0">
      <selection activeCell="K15" sqref="K15"/>
    </sheetView>
  </sheetViews>
  <sheetFormatPr defaultColWidth="9.14453125" defaultRowHeight="15" x14ac:dyDescent="0.2"/>
  <cols>
    <col min="1" max="1" width="2.82421875" style="3" customWidth="1"/>
    <col min="2" max="2" width="7.3984375" style="3" customWidth="1"/>
    <col min="3" max="3" width="11.296875" style="3" customWidth="1"/>
    <col min="4" max="7" width="21.38671875" style="3" customWidth="1"/>
    <col min="8" max="8" width="25.421875" style="3" customWidth="1"/>
    <col min="9" max="9" width="9.14453125" style="3" customWidth="1"/>
    <col min="10" max="16384" width="9.14453125" style="3"/>
  </cols>
  <sheetData>
    <row r="2" spans="2:15" x14ac:dyDescent="0.2">
      <c r="B2" s="4"/>
      <c r="C2" s="4"/>
    </row>
    <row r="3" spans="2:15" x14ac:dyDescent="0.2">
      <c r="B3" s="4"/>
      <c r="C3" s="4"/>
    </row>
    <row r="4" spans="2:15" x14ac:dyDescent="0.2">
      <c r="B4" s="4"/>
      <c r="C4" s="4"/>
    </row>
    <row r="5" spans="2:15" x14ac:dyDescent="0.2">
      <c r="B5" s="4"/>
      <c r="C5" s="4"/>
    </row>
    <row r="6" spans="2:15" x14ac:dyDescent="0.2">
      <c r="B6" s="4"/>
      <c r="C6" s="4"/>
    </row>
    <row r="7" spans="2:15" x14ac:dyDescent="0.2">
      <c r="B7" s="4"/>
      <c r="C7" s="4"/>
    </row>
    <row r="8" spans="2:15" ht="21" customHeight="1" x14ac:dyDescent="0.2">
      <c r="B8" s="10" t="s">
        <v>29</v>
      </c>
      <c r="C8" s="10"/>
      <c r="D8" s="11"/>
      <c r="E8" s="11"/>
      <c r="F8" s="11"/>
      <c r="G8" s="11"/>
      <c r="H8" s="11"/>
    </row>
    <row r="9" spans="2:15" x14ac:dyDescent="0.2">
      <c r="B9" s="11" t="s">
        <v>709</v>
      </c>
      <c r="C9" s="11"/>
      <c r="D9" s="11"/>
      <c r="E9" s="11"/>
      <c r="F9" s="11"/>
      <c r="G9" s="11"/>
      <c r="H9" s="11"/>
    </row>
    <row r="10" spans="2:15" x14ac:dyDescent="0.2">
      <c r="B10" s="11"/>
      <c r="C10" s="11"/>
      <c r="D10" s="11"/>
      <c r="E10" s="11"/>
      <c r="F10" s="11"/>
      <c r="G10" s="11"/>
      <c r="H10" s="11"/>
    </row>
    <row r="11" spans="2:15" ht="21" customHeight="1" x14ac:dyDescent="0.2">
      <c r="B11" s="85" t="s">
        <v>710</v>
      </c>
      <c r="C11" s="86"/>
      <c r="D11" s="85" t="s">
        <v>711</v>
      </c>
      <c r="E11" s="85"/>
      <c r="F11" s="85"/>
      <c r="G11" s="85"/>
      <c r="H11" s="85"/>
    </row>
    <row r="12" spans="2:15" ht="33" customHeight="1" x14ac:dyDescent="0.2">
      <c r="B12" s="88" t="s">
        <v>712</v>
      </c>
      <c r="C12" s="88" t="s">
        <v>713</v>
      </c>
      <c r="D12" s="88" t="s">
        <v>714</v>
      </c>
      <c r="E12" s="88" t="s">
        <v>715</v>
      </c>
      <c r="F12" s="88" t="s">
        <v>716</v>
      </c>
      <c r="G12" s="88" t="s">
        <v>717</v>
      </c>
      <c r="H12" s="88" t="s">
        <v>718</v>
      </c>
    </row>
    <row r="13" spans="2:15" ht="30" customHeight="1" x14ac:dyDescent="0.2">
      <c r="B13" s="13">
        <v>1</v>
      </c>
      <c r="C13" s="7" t="s">
        <v>719</v>
      </c>
      <c r="D13" s="7" t="s">
        <v>720</v>
      </c>
      <c r="E13" s="2" t="s">
        <v>721</v>
      </c>
      <c r="F13" s="2" t="s">
        <v>722</v>
      </c>
      <c r="G13" s="7" t="s">
        <v>719</v>
      </c>
      <c r="H13" s="2" t="s">
        <v>723</v>
      </c>
      <c r="I13" s="2"/>
      <c r="J13" s="2"/>
      <c r="K13" s="2"/>
      <c r="L13" s="2"/>
      <c r="M13" s="2"/>
      <c r="N13" s="2"/>
      <c r="O13" s="2"/>
    </row>
    <row r="14" spans="2:15" ht="45" customHeight="1" x14ac:dyDescent="0.2">
      <c r="B14" s="13">
        <v>2</v>
      </c>
      <c r="C14" s="7" t="s">
        <v>724</v>
      </c>
      <c r="D14" s="7" t="s">
        <v>725</v>
      </c>
      <c r="E14" s="2" t="s">
        <v>726</v>
      </c>
      <c r="F14" s="2" t="s">
        <v>727</v>
      </c>
      <c r="G14" s="7" t="s">
        <v>724</v>
      </c>
      <c r="H14" s="2" t="s">
        <v>728</v>
      </c>
      <c r="I14" s="2"/>
      <c r="J14" s="2"/>
      <c r="K14" s="2"/>
      <c r="L14" s="2"/>
      <c r="M14" s="2"/>
      <c r="N14" s="2"/>
      <c r="O14" s="2"/>
    </row>
    <row r="15" spans="2:15" ht="45" customHeight="1" x14ac:dyDescent="0.2">
      <c r="B15" s="13">
        <v>3</v>
      </c>
      <c r="C15" s="7" t="s">
        <v>729</v>
      </c>
      <c r="D15" s="7" t="s">
        <v>730</v>
      </c>
      <c r="E15" s="2" t="s">
        <v>731</v>
      </c>
      <c r="F15" s="2" t="s">
        <v>732</v>
      </c>
      <c r="G15" s="7" t="s">
        <v>729</v>
      </c>
      <c r="H15" s="2" t="s">
        <v>733</v>
      </c>
      <c r="I15" s="2"/>
      <c r="J15" s="2"/>
      <c r="K15" s="2"/>
      <c r="L15" s="2"/>
      <c r="M15" s="2"/>
      <c r="N15" s="2"/>
      <c r="O15" s="2"/>
    </row>
    <row r="16" spans="2:15" ht="30" customHeight="1" x14ac:dyDescent="0.2">
      <c r="B16" s="13">
        <v>4</v>
      </c>
      <c r="C16" s="7" t="s">
        <v>734</v>
      </c>
      <c r="D16" s="7" t="s">
        <v>735</v>
      </c>
      <c r="E16" s="2" t="s">
        <v>736</v>
      </c>
      <c r="F16" s="2" t="s">
        <v>737</v>
      </c>
      <c r="G16" s="7" t="s">
        <v>734</v>
      </c>
      <c r="H16" s="2" t="s">
        <v>738</v>
      </c>
      <c r="I16" s="2"/>
      <c r="J16" s="2"/>
      <c r="K16" s="2"/>
      <c r="L16" s="2"/>
      <c r="M16" s="2"/>
      <c r="N16" s="2"/>
      <c r="O16" s="2"/>
    </row>
    <row r="17" spans="2:15" ht="45" customHeight="1" x14ac:dyDescent="0.2">
      <c r="B17" s="13">
        <v>5</v>
      </c>
      <c r="C17" s="7" t="s">
        <v>739</v>
      </c>
      <c r="D17" s="7" t="s">
        <v>740</v>
      </c>
      <c r="E17" s="2" t="s">
        <v>741</v>
      </c>
      <c r="F17" s="2" t="s">
        <v>742</v>
      </c>
      <c r="G17" s="7" t="s">
        <v>739</v>
      </c>
      <c r="H17" s="2" t="s">
        <v>743</v>
      </c>
      <c r="I17" s="2"/>
      <c r="J17" s="2"/>
      <c r="K17" s="2"/>
      <c r="L17" s="2"/>
      <c r="M17" s="2"/>
      <c r="N17" s="2"/>
      <c r="O17" s="2"/>
    </row>
    <row r="18" spans="2:15" ht="15.75" customHeight="1" thickBot="1" x14ac:dyDescent="0.25">
      <c r="B18" s="38"/>
      <c r="C18" s="38"/>
      <c r="D18" s="38"/>
      <c r="E18" s="38"/>
      <c r="F18" s="38"/>
      <c r="G18" s="38"/>
      <c r="H18" s="38"/>
    </row>
    <row r="19" spans="2:15" ht="15.75" customHeight="1" thickTop="1" x14ac:dyDescent="0.2"/>
    <row r="25" spans="2:15" x14ac:dyDescent="0.2">
      <c r="B25" s="6"/>
      <c r="C25" s="6"/>
      <c r="D25" s="2"/>
    </row>
    <row r="26" spans="2:15" x14ac:dyDescent="0.2">
      <c r="B26" s="6"/>
      <c r="C26" s="6"/>
      <c r="D26" s="2"/>
    </row>
    <row r="27" spans="2:15" x14ac:dyDescent="0.2">
      <c r="B27" s="6"/>
      <c r="C27" s="6"/>
      <c r="D27" s="2"/>
    </row>
    <row r="28" spans="2:15" x14ac:dyDescent="0.2">
      <c r="B28" s="6"/>
      <c r="C28" s="6"/>
      <c r="D28" s="2"/>
    </row>
  </sheetData>
  <pageMargins left="0.70866141732283472" right="0.70866141732283472" top="0.74803149606299213" bottom="0.74803149606299213" header="0.31496062992125978" footer="0.31496062992125978"/>
  <pageSetup paperSize="9" scale="99" orientation="landscape" horizontalDpi="1200" verticalDpi="1200"/>
  <headerFooter>
    <oddFooter>&amp;L&amp;D&amp;CPage &amp;P of &amp;N&amp;R[Insert classification]</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dimension ref="A1:H23"/>
  <sheetViews>
    <sheetView showGridLines="0" zoomScaleNormal="100" workbookViewId="0">
      <selection activeCell="A4" sqref="A4"/>
    </sheetView>
  </sheetViews>
  <sheetFormatPr defaultRowHeight="15" x14ac:dyDescent="0.2"/>
  <cols>
    <col min="1" max="1" width="14.9296875" customWidth="1"/>
    <col min="2" max="2" width="9.14453125" customWidth="1"/>
    <col min="3" max="3" width="21.38671875" customWidth="1"/>
    <col min="5" max="5" width="16.41015625" customWidth="1"/>
    <col min="6" max="6" width="16.27734375" customWidth="1"/>
    <col min="7" max="7" width="18.4296875" customWidth="1"/>
    <col min="8" max="8" width="11.8359375" customWidth="1"/>
    <col min="9" max="9" width="17.3515625" customWidth="1"/>
  </cols>
  <sheetData>
    <row r="1" spans="1:8" ht="21" customHeight="1" x14ac:dyDescent="0.3">
      <c r="A1" s="29" t="s">
        <v>744</v>
      </c>
    </row>
    <row r="3" spans="1:8" ht="15.75" customHeight="1" x14ac:dyDescent="0.2">
      <c r="A3" s="25" t="s">
        <v>745</v>
      </c>
      <c r="C3" s="24" t="s">
        <v>746</v>
      </c>
      <c r="H3" s="8"/>
    </row>
    <row r="4" spans="1:8" x14ac:dyDescent="0.2">
      <c r="A4" s="5" t="s">
        <v>747</v>
      </c>
      <c r="B4" s="1"/>
      <c r="C4" t="s">
        <v>747</v>
      </c>
    </row>
    <row r="5" spans="1:8" x14ac:dyDescent="0.2">
      <c r="A5" s="5">
        <v>1</v>
      </c>
      <c r="B5" s="1"/>
      <c r="C5" t="s">
        <v>192</v>
      </c>
    </row>
    <row r="6" spans="1:8" x14ac:dyDescent="0.2">
      <c r="A6" s="5">
        <v>2</v>
      </c>
      <c r="B6" s="1"/>
      <c r="C6" t="s">
        <v>193</v>
      </c>
    </row>
    <row r="7" spans="1:8" x14ac:dyDescent="0.2">
      <c r="A7" s="5">
        <v>3</v>
      </c>
      <c r="B7" s="1"/>
      <c r="C7" t="s">
        <v>56</v>
      </c>
    </row>
    <row r="8" spans="1:8" x14ac:dyDescent="0.2">
      <c r="A8" s="5">
        <v>4</v>
      </c>
      <c r="B8" s="1"/>
      <c r="C8" t="s">
        <v>748</v>
      </c>
    </row>
    <row r="9" spans="1:8" x14ac:dyDescent="0.2">
      <c r="A9" s="5">
        <v>5</v>
      </c>
      <c r="B9" s="1"/>
    </row>
    <row r="10" spans="1:8" x14ac:dyDescent="0.2">
      <c r="A10" s="1"/>
      <c r="B10" s="1"/>
    </row>
    <row r="11" spans="1:8" x14ac:dyDescent="0.2">
      <c r="A11" s="1"/>
      <c r="B11" s="1"/>
    </row>
    <row r="12" spans="1:8" x14ac:dyDescent="0.2">
      <c r="A12" s="24" t="s">
        <v>749</v>
      </c>
      <c r="B12" s="1"/>
      <c r="C12" s="24" t="s">
        <v>750</v>
      </c>
    </row>
    <row r="13" spans="1:8" x14ac:dyDescent="0.2">
      <c r="A13" s="1" t="s">
        <v>747</v>
      </c>
      <c r="B13" s="1"/>
      <c r="C13" t="s">
        <v>747</v>
      </c>
    </row>
    <row r="14" spans="1:8" x14ac:dyDescent="0.2">
      <c r="A14" s="1" t="s">
        <v>52</v>
      </c>
      <c r="B14" s="1"/>
      <c r="C14" t="s">
        <v>60</v>
      </c>
    </row>
    <row r="15" spans="1:8" x14ac:dyDescent="0.2">
      <c r="A15" s="1" t="s">
        <v>66</v>
      </c>
      <c r="B15" s="1"/>
      <c r="C15" t="s">
        <v>751</v>
      </c>
    </row>
    <row r="16" spans="1:8" x14ac:dyDescent="0.2">
      <c r="A16" s="1" t="s">
        <v>91</v>
      </c>
      <c r="B16" s="1"/>
      <c r="C16" t="s">
        <v>752</v>
      </c>
    </row>
    <row r="17" spans="1:3" x14ac:dyDescent="0.2">
      <c r="A17" s="1" t="s">
        <v>753</v>
      </c>
      <c r="B17" s="1"/>
      <c r="C17" t="s">
        <v>754</v>
      </c>
    </row>
    <row r="18" spans="1:3" x14ac:dyDescent="0.2">
      <c r="A18" s="1" t="s">
        <v>755</v>
      </c>
      <c r="B18" s="1"/>
    </row>
    <row r="19" spans="1:3" x14ac:dyDescent="0.2">
      <c r="A19" s="1" t="s">
        <v>756</v>
      </c>
    </row>
    <row r="20" spans="1:3" x14ac:dyDescent="0.2">
      <c r="A20" s="1" t="s">
        <v>757</v>
      </c>
    </row>
    <row r="21" spans="1:3" x14ac:dyDescent="0.2">
      <c r="A21" s="1"/>
    </row>
    <row r="22" spans="1:3" x14ac:dyDescent="0.2">
      <c r="A22" s="1"/>
    </row>
    <row r="23" spans="1:3" x14ac:dyDescent="0.2">
      <c r="A23" s="1"/>
    </row>
  </sheetData>
  <pageMargins left="0.7" right="0.7" top="0.75" bottom="0.75" header="0.3" footer="0.3"/>
  <pageSetup paperSize="9" orientation="portrait" horizontalDpi="0" verticalDpi="0"/>
  <tableParts count="4">
    <tablePart r:id="rId1"/>
    <tablePart r:id="rId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F51"/>
  <sheetViews>
    <sheetView showGridLines="0" topLeftCell="A4" workbookViewId="0">
      <selection activeCell="C41" sqref="C41"/>
    </sheetView>
  </sheetViews>
  <sheetFormatPr defaultRowHeight="15" x14ac:dyDescent="0.2"/>
  <cols>
    <col min="1" max="1" width="19.1015625" bestFit="1" customWidth="1"/>
    <col min="2" max="2" width="12.10546875" bestFit="1" customWidth="1"/>
    <col min="3" max="3" width="9.14453125" bestFit="1" customWidth="1"/>
    <col min="4" max="5" width="9.81640625" bestFit="1" customWidth="1"/>
    <col min="6" max="6" width="11.296875" bestFit="1" customWidth="1"/>
    <col min="7" max="7" width="11.02734375" bestFit="1" customWidth="1"/>
    <col min="8" max="8" width="9.28125" bestFit="1" customWidth="1"/>
    <col min="9" max="9" width="5.6484375" bestFit="1" customWidth="1"/>
    <col min="10" max="10" width="9.4140625" bestFit="1" customWidth="1"/>
    <col min="11" max="11" width="12.375" bestFit="1" customWidth="1"/>
    <col min="12" max="12" width="10.35546875" bestFit="1" customWidth="1"/>
    <col min="13" max="13" width="12.9140625" bestFit="1" customWidth="1"/>
    <col min="14" max="14" width="7.93359375" bestFit="1" customWidth="1"/>
    <col min="15" max="15" width="10.89453125" bestFit="1" customWidth="1"/>
    <col min="16" max="19" width="11.296875" bestFit="1" customWidth="1"/>
    <col min="20" max="20" width="15.33203125" bestFit="1" customWidth="1"/>
    <col min="21" max="21" width="12.9140625" bestFit="1" customWidth="1"/>
    <col min="22" max="22" width="7.93359375" bestFit="1" customWidth="1"/>
    <col min="23" max="23" width="10.4921875" bestFit="1" customWidth="1"/>
    <col min="24" max="24" width="10.89453125" bestFit="1" customWidth="1"/>
    <col min="25" max="26" width="12.10546875" bestFit="1" customWidth="1"/>
    <col min="27" max="27" width="11.296875" bestFit="1" customWidth="1"/>
  </cols>
  <sheetData>
    <row r="1" spans="1:6" ht="21" customHeight="1" x14ac:dyDescent="0.3">
      <c r="A1" s="29" t="s">
        <v>758</v>
      </c>
    </row>
    <row r="3" spans="1:6" x14ac:dyDescent="0.2">
      <c r="A3" s="27" t="s">
        <v>759</v>
      </c>
    </row>
    <row r="5" spans="1:6" x14ac:dyDescent="0.2">
      <c r="A5" s="24" t="s">
        <v>760</v>
      </c>
      <c r="B5" s="24" t="s">
        <v>770</v>
      </c>
      <c r="C5" s="24"/>
      <c r="D5" s="24"/>
    </row>
    <row r="6" spans="1:6" x14ac:dyDescent="0.2">
      <c r="A6" s="24" t="s">
        <v>768</v>
      </c>
      <c r="B6" s="24" t="s">
        <v>185</v>
      </c>
      <c r="C6" s="24" t="s">
        <v>186</v>
      </c>
      <c r="D6" s="24" t="s">
        <v>769</v>
      </c>
    </row>
    <row r="7" spans="1:6" x14ac:dyDescent="0.2">
      <c r="A7" s="5" t="s">
        <v>52</v>
      </c>
      <c r="B7" s="94">
        <v>5</v>
      </c>
      <c r="C7" s="94"/>
      <c r="D7" s="94">
        <v>5</v>
      </c>
    </row>
    <row r="8" spans="1:6" x14ac:dyDescent="0.2">
      <c r="A8" s="5" t="s">
        <v>91</v>
      </c>
      <c r="B8" s="94"/>
      <c r="C8" s="94">
        <v>2</v>
      </c>
      <c r="D8" s="94">
        <v>2</v>
      </c>
    </row>
    <row r="9" spans="1:6" x14ac:dyDescent="0.2">
      <c r="A9" s="5" t="s">
        <v>66</v>
      </c>
      <c r="B9" s="94">
        <v>2</v>
      </c>
      <c r="C9" s="94">
        <v>1</v>
      </c>
      <c r="D9" s="94">
        <v>3</v>
      </c>
    </row>
    <row r="10" spans="1:6" x14ac:dyDescent="0.2">
      <c r="A10" s="25" t="s">
        <v>769</v>
      </c>
      <c r="B10" s="95">
        <v>7</v>
      </c>
      <c r="C10" s="95">
        <v>3</v>
      </c>
      <c r="D10" s="95">
        <v>10</v>
      </c>
    </row>
    <row r="15" spans="1:6" x14ac:dyDescent="0.2">
      <c r="A15" s="28" t="s">
        <v>761</v>
      </c>
      <c r="B15" s="26"/>
      <c r="C15" s="26"/>
      <c r="D15" s="26"/>
      <c r="E15" s="26"/>
      <c r="F15" s="26"/>
    </row>
    <row r="17" spans="1:4" x14ac:dyDescent="0.2">
      <c r="A17" s="24" t="s">
        <v>760</v>
      </c>
      <c r="B17" s="24" t="s">
        <v>770</v>
      </c>
      <c r="C17" s="24"/>
      <c r="D17" s="24"/>
    </row>
    <row r="18" spans="1:4" x14ac:dyDescent="0.2">
      <c r="A18" s="24" t="s">
        <v>768</v>
      </c>
      <c r="B18" s="24" t="s">
        <v>185</v>
      </c>
      <c r="C18" s="24" t="s">
        <v>186</v>
      </c>
      <c r="D18" s="24" t="s">
        <v>769</v>
      </c>
    </row>
    <row r="19" spans="1:4" x14ac:dyDescent="0.2">
      <c r="A19" s="5" t="s">
        <v>75</v>
      </c>
      <c r="B19" s="92">
        <v>1</v>
      </c>
      <c r="C19" s="92"/>
      <c r="D19" s="92">
        <v>1</v>
      </c>
    </row>
    <row r="20" spans="1:4" x14ac:dyDescent="0.2">
      <c r="A20" s="5" t="s">
        <v>53</v>
      </c>
      <c r="B20" s="92">
        <v>1</v>
      </c>
      <c r="C20" s="92"/>
      <c r="D20" s="92">
        <v>1</v>
      </c>
    </row>
    <row r="21" spans="1:4" x14ac:dyDescent="0.2">
      <c r="A21" s="5" t="s">
        <v>67</v>
      </c>
      <c r="B21" s="92">
        <v>1</v>
      </c>
      <c r="C21" s="92"/>
      <c r="D21" s="92">
        <v>1</v>
      </c>
    </row>
    <row r="22" spans="1:4" x14ac:dyDescent="0.2">
      <c r="A22" s="5" t="s">
        <v>82</v>
      </c>
      <c r="B22" s="92">
        <v>1</v>
      </c>
      <c r="C22" s="92"/>
      <c r="D22" s="92">
        <v>1</v>
      </c>
    </row>
    <row r="23" spans="1:4" x14ac:dyDescent="0.2">
      <c r="A23" s="5" t="s">
        <v>92</v>
      </c>
      <c r="B23" s="92"/>
      <c r="C23" s="92">
        <v>1</v>
      </c>
      <c r="D23" s="92">
        <v>1</v>
      </c>
    </row>
    <row r="24" spans="1:4" x14ac:dyDescent="0.2">
      <c r="A24" s="5" t="s">
        <v>100</v>
      </c>
      <c r="B24" s="92"/>
      <c r="C24" s="92">
        <v>1</v>
      </c>
      <c r="D24" s="92">
        <v>1</v>
      </c>
    </row>
    <row r="25" spans="1:4" x14ac:dyDescent="0.2">
      <c r="A25" s="5" t="s">
        <v>109</v>
      </c>
      <c r="B25" s="92">
        <v>1</v>
      </c>
      <c r="C25" s="92"/>
      <c r="D25" s="92">
        <v>1</v>
      </c>
    </row>
    <row r="26" spans="1:4" x14ac:dyDescent="0.2">
      <c r="A26" s="5" t="s">
        <v>117</v>
      </c>
      <c r="B26" s="92">
        <v>1</v>
      </c>
      <c r="C26" s="92"/>
      <c r="D26" s="92">
        <v>1</v>
      </c>
    </row>
    <row r="27" spans="1:4" x14ac:dyDescent="0.2">
      <c r="A27" s="5" t="s">
        <v>126</v>
      </c>
      <c r="B27" s="92">
        <v>1</v>
      </c>
      <c r="C27" s="92"/>
      <c r="D27" s="92">
        <v>1</v>
      </c>
    </row>
    <row r="28" spans="1:4" x14ac:dyDescent="0.2">
      <c r="A28" s="5" t="s">
        <v>134</v>
      </c>
      <c r="B28" s="92"/>
      <c r="C28" s="92">
        <v>1</v>
      </c>
      <c r="D28" s="92">
        <v>1</v>
      </c>
    </row>
    <row r="29" spans="1:4" x14ac:dyDescent="0.2">
      <c r="A29" s="25" t="s">
        <v>769</v>
      </c>
      <c r="B29" s="93">
        <v>7</v>
      </c>
      <c r="C29" s="93">
        <v>3</v>
      </c>
      <c r="D29" s="93">
        <v>10</v>
      </c>
    </row>
    <row r="30" spans="1:4" x14ac:dyDescent="0.2">
      <c r="A30" s="28" t="s">
        <v>762</v>
      </c>
    </row>
    <row r="32" spans="1:4" x14ac:dyDescent="0.2">
      <c r="A32" s="24" t="s">
        <v>768</v>
      </c>
    </row>
    <row r="33" spans="1:3" x14ac:dyDescent="0.2">
      <c r="A33" s="5" t="s">
        <v>56</v>
      </c>
    </row>
    <row r="34" spans="1:3" x14ac:dyDescent="0.2">
      <c r="A34" s="25" t="s">
        <v>769</v>
      </c>
    </row>
    <row r="39" spans="1:3" ht="15.75" customHeight="1" x14ac:dyDescent="0.2">
      <c r="A39" s="27" t="s">
        <v>763</v>
      </c>
      <c r="B39" s="9"/>
      <c r="C39" s="9"/>
    </row>
    <row r="41" spans="1:3" x14ac:dyDescent="0.2">
      <c r="A41" t="s">
        <v>178</v>
      </c>
      <c r="B41" t="s">
        <v>764</v>
      </c>
      <c r="C41" t="s">
        <v>765</v>
      </c>
    </row>
    <row r="42" spans="1:3" x14ac:dyDescent="0.2">
      <c r="A42" t="s">
        <v>179</v>
      </c>
      <c r="B42">
        <f>COUNTIF(RiskAssessment[Risk Level],Table1[[#This Row],[Risk level]])</f>
        <v>0</v>
      </c>
      <c r="C42">
        <f>COUNTIF(RiskAssessment[Post-Treatment Risk Level],Table1[[#This Row],[Risk level]])</f>
        <v>3</v>
      </c>
    </row>
    <row r="43" spans="1:3" x14ac:dyDescent="0.2">
      <c r="A43" t="s">
        <v>180</v>
      </c>
      <c r="B43">
        <f>COUNTIF(RiskAssessment[Risk Level],Table1[[#This Row],[Risk level]])</f>
        <v>3</v>
      </c>
      <c r="C43">
        <f>COUNTIF(RiskAssessment[Post-Treatment Risk Level],Table1[[#This Row],[Risk level]])</f>
        <v>7</v>
      </c>
    </row>
    <row r="44" spans="1:3" x14ac:dyDescent="0.2">
      <c r="A44" t="s">
        <v>181</v>
      </c>
      <c r="B44">
        <f>COUNTIF(RiskAssessment[Risk Level],Table1[[#This Row],[Risk level]])</f>
        <v>7</v>
      </c>
      <c r="C44">
        <f>COUNTIF(RiskAssessment[Post-Treatment Risk Level],Table1[[#This Row],[Risk level]])</f>
        <v>0</v>
      </c>
    </row>
    <row r="46" spans="1:3" x14ac:dyDescent="0.2">
      <c r="A46" s="27" t="s">
        <v>766</v>
      </c>
    </row>
    <row r="48" spans="1:3" x14ac:dyDescent="0.2">
      <c r="A48" s="24" t="s">
        <v>768</v>
      </c>
      <c r="B48" s="24" t="s">
        <v>195</v>
      </c>
    </row>
    <row r="49" spans="1:2" x14ac:dyDescent="0.2">
      <c r="A49" s="5" t="s">
        <v>185</v>
      </c>
      <c r="B49" s="92">
        <v>0</v>
      </c>
    </row>
    <row r="50" spans="1:2" x14ac:dyDescent="0.2">
      <c r="A50" s="5" t="s">
        <v>186</v>
      </c>
      <c r="B50" s="92">
        <v>0</v>
      </c>
    </row>
    <row r="51" spans="1:2" x14ac:dyDescent="0.2">
      <c r="A51" s="25" t="s">
        <v>769</v>
      </c>
      <c r="B51" s="93">
        <v>0</v>
      </c>
    </row>
  </sheetData>
  <pageMargins left="0.7" right="0.7" top="0.75" bottom="0.75" header="0.3" footer="0.3"/>
  <pageSetup paperSize="9" orientation="portrait" horizontalDpi="0" verticalDpi="0"/>
  <tableParts count="1">
    <tablePart r:id="rId5"/>
  </tableParts>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18</vt:i4>
      </vt:variant>
      <vt:variant>
        <vt:lpstr>Named Ranges</vt:lpstr>
      </vt:variant>
      <vt:variant>
        <vt:i4>7</vt:i4>
      </vt:variant>
    </vt:vector>
  </HeadingPairs>
  <TitlesOfParts>
    <vt:vector size="25" baseType="lpstr">
      <vt:lpstr>Assessment Details</vt:lpstr>
      <vt:lpstr>Risk Assessment</vt:lpstr>
      <vt:lpstr>Dashboard</vt:lpstr>
      <vt:lpstr>Pre-treatment risks</vt:lpstr>
      <vt:lpstr>Pre-treat risk levels by owner</vt:lpstr>
      <vt:lpstr>Post-treatment risks</vt:lpstr>
      <vt:lpstr>Risks by risk level pre &amp; post</vt:lpstr>
      <vt:lpstr>Treatment option chosen</vt:lpstr>
      <vt:lpstr>Treatment cost </vt:lpstr>
      <vt:lpstr>Treatment action owner </vt:lpstr>
      <vt:lpstr>Reference Controls</vt:lpstr>
      <vt:lpstr>Example ATV Risks</vt:lpstr>
      <vt:lpstr>Example Assets</vt:lpstr>
      <vt:lpstr>Example Threats</vt:lpstr>
      <vt:lpstr>Likelihood</vt:lpstr>
      <vt:lpstr>Impact</vt:lpstr>
      <vt:lpstr>Selection Tables</vt:lpstr>
      <vt:lpstr>Pivot tables</vt:lpstr>
      <vt:lpstr>NoRisksPre</vt:lpstr>
      <vt:lpstr>Reference Controls!Print_Area</vt:lpstr>
      <vt:lpstr>Risk Assessment!Print_Area</vt:lpstr>
      <vt:lpstr>Example Assets!Print_Titles</vt:lpstr>
      <vt:lpstr>Example ATV Risks!Print_Titles</vt:lpstr>
      <vt:lpstr>Reference Controls!Print_Titles</vt:lpstr>
      <vt:lpstr>Risk Assessment!Print_Titles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ISO27001 Toolkit</dc:title>
  <dc:creator>Copyright CertiKit</dc:creator>
  <cp:lastModifiedBy>MAM _Acer</cp:lastModifiedBy>
  <cp:lastPrinted>2021-04-08T14:47:16Z</cp:lastPrinted>
  <dcterms:created xsi:type="dcterms:W3CDTF">2015-06-05T18:17:20Z</dcterms:created>
  <dcterms:modified xsi:type="dcterms:W3CDTF">2026-09-13T00:41:32Z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1275200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